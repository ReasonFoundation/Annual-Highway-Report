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8"/>
  <workbookPr/>
  <mc:AlternateContent xmlns:mc="http://schemas.openxmlformats.org/markup-compatibility/2006">
    <mc:Choice Requires="x15">
      <x15ac:absPath xmlns:x15ac="http://schemas.microsoft.com/office/spreadsheetml/2010/11/ac" url="/Users/truongbui/Dropbox/Work/Reason/Reason Work/Annual Highway Report/AHR data process/"/>
    </mc:Choice>
  </mc:AlternateContent>
  <xr:revisionPtr revIDLastSave="0" documentId="13_ncr:1_{66CE7A24-9209-AF46-8E8B-DBE2B40C2260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 1" sheetId="1" r:id="rId1"/>
  </sheets>
  <definedNames>
    <definedName name="_xlnm._FilterDatabase" localSheetId="0" hidden="1">'Sheet 1'!$A$1:$BF$52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P51" i="1" l="1"/>
  <c r="AP23" i="1"/>
  <c r="AP21" i="1"/>
  <c r="AP41" i="1"/>
  <c r="AP45" i="1"/>
  <c r="AP5" i="1"/>
  <c r="AP50" i="1"/>
  <c r="AP4" i="1"/>
  <c r="AP6" i="1"/>
  <c r="AP49" i="1"/>
  <c r="AP32" i="1"/>
  <c r="AP33" i="1"/>
  <c r="AP27" i="1"/>
  <c r="AP34" i="1"/>
  <c r="AP13" i="1"/>
  <c r="AP9" i="1"/>
  <c r="AP37" i="1"/>
  <c r="AP35" i="1"/>
  <c r="AP20" i="1"/>
  <c r="AP12" i="1"/>
  <c r="AP30" i="1"/>
  <c r="AP16" i="1"/>
  <c r="AP19" i="1"/>
  <c r="AP10" i="1"/>
  <c r="AP31" i="1"/>
  <c r="AP26" i="1"/>
  <c r="AP17" i="1"/>
  <c r="AP22" i="1"/>
  <c r="AP42" i="1"/>
  <c r="AP36" i="1"/>
  <c r="AP40" i="1"/>
  <c r="AP11" i="1"/>
  <c r="AP18" i="1"/>
  <c r="AP24" i="1"/>
  <c r="AP47" i="1"/>
  <c r="AP25" i="1"/>
  <c r="AP46" i="1"/>
  <c r="AP44" i="1"/>
  <c r="AP8" i="1"/>
  <c r="AP39" i="1"/>
  <c r="AP3" i="1"/>
  <c r="AP15" i="1"/>
  <c r="AP2" i="1"/>
  <c r="AP43" i="1"/>
  <c r="AP7" i="1"/>
  <c r="AP38" i="1"/>
  <c r="AP48" i="1"/>
  <c r="AP29" i="1"/>
  <c r="AP28" i="1"/>
  <c r="AP52" i="1"/>
  <c r="AP14" i="1"/>
  <c r="AQ29" i="1" l="1"/>
  <c r="AQ16" i="1"/>
  <c r="AQ46" i="1"/>
  <c r="AQ45" i="1"/>
  <c r="AQ33" i="1"/>
  <c r="AQ2" i="1"/>
  <c r="AQ47" i="1"/>
  <c r="AQ17" i="1"/>
  <c r="AQ20" i="1"/>
  <c r="AQ32" i="1"/>
  <c r="AQ21" i="1"/>
  <c r="AQ38" i="1"/>
  <c r="AQ5" i="1"/>
  <c r="AQ42" i="1"/>
  <c r="AQ43" i="1"/>
  <c r="AQ12" i="1"/>
  <c r="AQ15" i="1"/>
  <c r="AQ24" i="1"/>
  <c r="AQ26" i="1"/>
  <c r="AQ35" i="1"/>
  <c r="AQ49" i="1"/>
  <c r="AQ23" i="1"/>
  <c r="AQ44" i="1"/>
  <c r="AQ34" i="1"/>
  <c r="AQ30" i="1"/>
  <c r="AQ25" i="1"/>
  <c r="AQ41" i="1"/>
  <c r="AQ3" i="1"/>
  <c r="AQ31" i="1"/>
  <c r="AQ37" i="1"/>
  <c r="AQ51" i="1"/>
  <c r="AQ36" i="1"/>
  <c r="AQ7" i="1"/>
  <c r="AQ27" i="1"/>
  <c r="AQ22" i="1"/>
  <c r="AQ14" i="1"/>
  <c r="AQ28" i="1"/>
  <c r="AQ18" i="1"/>
  <c r="AQ6" i="1"/>
  <c r="AQ4" i="1"/>
  <c r="AQ48" i="1"/>
  <c r="AQ8" i="1"/>
  <c r="AQ39" i="1"/>
  <c r="AQ40" i="1"/>
  <c r="AQ11" i="1"/>
  <c r="AQ19" i="1"/>
  <c r="AQ9" i="1"/>
  <c r="AQ50" i="1"/>
  <c r="AQ10" i="1"/>
  <c r="AQ13" i="1"/>
</calcChain>
</file>

<file path=xl/sharedStrings.xml><?xml version="1.0" encoding="utf-8"?>
<sst xmlns="http://schemas.openxmlformats.org/spreadsheetml/2006/main" count="104" uniqueCount="103">
  <si>
    <t>state</t>
  </si>
  <si>
    <t>SHA_miles</t>
  </si>
  <si>
    <t>state_controlled_lane_miles</t>
  </si>
  <si>
    <t>SHA_ratio</t>
  </si>
  <si>
    <t>capital_disbursement</t>
  </si>
  <si>
    <t>maintenance_disbursement</t>
  </si>
  <si>
    <t>admin_disbursement</t>
  </si>
  <si>
    <t>total_disbursement</t>
  </si>
  <si>
    <t>rural_interstate_above_170</t>
  </si>
  <si>
    <t>rural_interstate_total</t>
  </si>
  <si>
    <t>rural_OPA_above_220</t>
  </si>
  <si>
    <t>rural_OPA_total</t>
  </si>
  <si>
    <t>urban_interstate_above_170</t>
  </si>
  <si>
    <t>urban_interstate_total</t>
  </si>
  <si>
    <t>urban_OPA_above_220</t>
  </si>
  <si>
    <t>urban_OPA_total</t>
  </si>
  <si>
    <t>rural_total_fatalities</t>
  </si>
  <si>
    <t>urban_total_fatalities</t>
  </si>
  <si>
    <t>rural_total_VMT</t>
  </si>
  <si>
    <t>urban_total_VMT</t>
  </si>
  <si>
    <t>total_VMT</t>
  </si>
  <si>
    <t>total_bridges</t>
  </si>
  <si>
    <t>total_poor_bridges</t>
  </si>
  <si>
    <t>state_auto_commuters</t>
  </si>
  <si>
    <t>state_population</t>
  </si>
  <si>
    <t>state_peak_delay</t>
  </si>
  <si>
    <t>state_remain_delay</t>
  </si>
  <si>
    <t>capital_disbursement_per_vmt</t>
  </si>
  <si>
    <t>maintenance_disbursement_per_vmt</t>
  </si>
  <si>
    <t>admin_disbursement_per_vmt</t>
  </si>
  <si>
    <t>rural_interstate_poor_percent</t>
  </si>
  <si>
    <t>urban_interstate_poor_percent</t>
  </si>
  <si>
    <t>rural_OPA_poor_percent</t>
  </si>
  <si>
    <t>poor_bridges_percent</t>
  </si>
  <si>
    <t>rural_fatalities_per_100m_VMT</t>
  </si>
  <si>
    <t>urban_fatalities_per_100m_VMT</t>
  </si>
  <si>
    <t>state_avg_delay_hours</t>
  </si>
  <si>
    <t>overall_score</t>
  </si>
  <si>
    <t>capital_disbursement_per_vmt_rank</t>
  </si>
  <si>
    <t>maintenance_disbursement_per_vmt_rank</t>
  </si>
  <si>
    <t>admin_disbursement_per_vmt_rank</t>
  </si>
  <si>
    <t>rural_interstate_poor_percent_rank</t>
  </si>
  <si>
    <t>urban_interstate_poor_percent_rank</t>
  </si>
  <si>
    <t>rural_OPA_poor_percent_rank</t>
  </si>
  <si>
    <t>poor_bridges_percent_rank</t>
  </si>
  <si>
    <t>rural_fatalities_per_100m_VMT_rank</t>
  </si>
  <si>
    <t>urban_fatalities_per_100m_VMT_rank</t>
  </si>
  <si>
    <t>state_avg_delay_hours_rank</t>
  </si>
  <si>
    <t>overall_score_rank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</si>
  <si>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</si>
  <si>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</si>
  <si>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</si>
  <si>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</si>
  <si>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</si>
  <si>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</si>
  <si>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</si>
  <si>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</si>
  <si>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</si>
  <si>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</si>
  <si>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</si>
  <si>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</si>
  <si>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</si>
  <si>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</si>
  <si>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</si>
  <si>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</si>
  <si>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</si>
  <si>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</si>
  <si>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</si>
  <si>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</si>
  <si>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</si>
  <si>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</si>
  <si>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</si>
  <si>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</si>
  <si>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</si>
  <si>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</si>
  <si>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</si>
  <si>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</si>
  <si>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</si>
  <si>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</si>
  <si>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</si>
  <si>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</si>
  <si>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</si>
  <si>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</si>
  <si>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</si>
  <si>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</si>
  <si>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</si>
  <si>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</si>
  <si>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</si>
  <si>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</si>
  <si>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</si>
  <si>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</si>
  <si>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</si>
  <si>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</si>
  <si>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</si>
  <si>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</si>
  <si>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</si>
  <si>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</si>
  <si>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</si>
  <si>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</si>
  <si>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United States</t>
  </si>
  <si>
    <t>overall_score_rank_original</t>
  </si>
  <si>
    <t>overall_score_rank 3</t>
  </si>
  <si>
    <t>overall_score_rank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</si>
</sst>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43" fontId="0" fillId="0" borderId="0" xfId="1" applyNumberFormat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1'!$BF$1</c:f>
              <c:strCache>
                <c:ptCount val="1"/>
                <c:pt idx="0">
                  <c:v>overall_score_rank_original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1'!$BC$2:$BC$51</c:f>
              <c:numCache>
                <c:formatCode>_(* #,##0_);_(* \(#,##0\);_(* "-"??_);_(@_)</c:formatCode>
                <c:ptCount val="50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24</c:v>
                </c:pt>
                <c:pt idx="6">
                  <c:v>22</c:v>
                </c:pt>
                <c:pt idx="7">
                  <c:v>13</c:v>
                </c:pt>
                <c:pt idx="8">
                  <c:v>11</c:v>
                </c:pt>
                <c:pt idx="9">
                  <c:v>26</c:v>
                </c:pt>
                <c:pt idx="10">
                  <c:v>9</c:v>
                </c:pt>
                <c:pt idx="11">
                  <c:v>10</c:v>
                </c:pt>
                <c:pt idx="12">
                  <c:v>15</c:v>
                </c:pt>
                <c:pt idx="13">
                  <c:v>21</c:v>
                </c:pt>
                <c:pt idx="14">
                  <c:v>7</c:v>
                </c:pt>
                <c:pt idx="15">
                  <c:v>3</c:v>
                </c:pt>
                <c:pt idx="16">
                  <c:v>8</c:v>
                </c:pt>
                <c:pt idx="17">
                  <c:v>18</c:v>
                </c:pt>
                <c:pt idx="18">
                  <c:v>17</c:v>
                </c:pt>
                <c:pt idx="19">
                  <c:v>23</c:v>
                </c:pt>
                <c:pt idx="20">
                  <c:v>16</c:v>
                </c:pt>
                <c:pt idx="21">
                  <c:v>12</c:v>
                </c:pt>
                <c:pt idx="22">
                  <c:v>25</c:v>
                </c:pt>
                <c:pt idx="23">
                  <c:v>14</c:v>
                </c:pt>
                <c:pt idx="24">
                  <c:v>19</c:v>
                </c:pt>
                <c:pt idx="25">
                  <c:v>20</c:v>
                </c:pt>
                <c:pt idx="26">
                  <c:v>30</c:v>
                </c:pt>
                <c:pt idx="27">
                  <c:v>29</c:v>
                </c:pt>
                <c:pt idx="28">
                  <c:v>31</c:v>
                </c:pt>
                <c:pt idx="29">
                  <c:v>28</c:v>
                </c:pt>
                <c:pt idx="30">
                  <c:v>27</c:v>
                </c:pt>
                <c:pt idx="31">
                  <c:v>35</c:v>
                </c:pt>
                <c:pt idx="32">
                  <c:v>32</c:v>
                </c:pt>
                <c:pt idx="33">
                  <c:v>37</c:v>
                </c:pt>
                <c:pt idx="34">
                  <c:v>41</c:v>
                </c:pt>
                <c:pt idx="35">
                  <c:v>43</c:v>
                </c:pt>
                <c:pt idx="36">
                  <c:v>36</c:v>
                </c:pt>
                <c:pt idx="37">
                  <c:v>34</c:v>
                </c:pt>
                <c:pt idx="38">
                  <c:v>40</c:v>
                </c:pt>
                <c:pt idx="39">
                  <c:v>38</c:v>
                </c:pt>
                <c:pt idx="40">
                  <c:v>39</c:v>
                </c:pt>
                <c:pt idx="41">
                  <c:v>33</c:v>
                </c:pt>
                <c:pt idx="42">
                  <c:v>45</c:v>
                </c:pt>
                <c:pt idx="43">
                  <c:v>42</c:v>
                </c:pt>
                <c:pt idx="44">
                  <c:v>47</c:v>
                </c:pt>
                <c:pt idx="45">
                  <c:v>44</c:v>
                </c:pt>
                <c:pt idx="46">
                  <c:v>48</c:v>
                </c:pt>
                <c:pt idx="47">
                  <c:v>46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1'!$BF$2:$BF$51</c:f>
              <c:numCache>
                <c:formatCode>General</c:formatCode>
                <c:ptCount val="50"/>
                <c:pt idx="0">
                  <c:v>7</c:v>
                </c:pt>
                <c:pt idx="1">
                  <c:v>9</c:v>
                </c:pt>
                <c:pt idx="2">
                  <c:v>40</c:v>
                </c:pt>
                <c:pt idx="3">
                  <c:v>34</c:v>
                </c:pt>
                <c:pt idx="4">
                  <c:v>17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43</c:v>
                </c:pt>
                <c:pt idx="11">
                  <c:v>6</c:v>
                </c:pt>
                <c:pt idx="12">
                  <c:v>20</c:v>
                </c:pt>
                <c:pt idx="13">
                  <c:v>19</c:v>
                </c:pt>
                <c:pt idx="14">
                  <c:v>8</c:v>
                </c:pt>
                <c:pt idx="15">
                  <c:v>22</c:v>
                </c:pt>
                <c:pt idx="16">
                  <c:v>1</c:v>
                </c:pt>
                <c:pt idx="17">
                  <c:v>16</c:v>
                </c:pt>
                <c:pt idx="18">
                  <c:v>39</c:v>
                </c:pt>
                <c:pt idx="19">
                  <c:v>15</c:v>
                </c:pt>
                <c:pt idx="20">
                  <c:v>13</c:v>
                </c:pt>
                <c:pt idx="21">
                  <c:v>31</c:v>
                </c:pt>
                <c:pt idx="22">
                  <c:v>24</c:v>
                </c:pt>
                <c:pt idx="23">
                  <c:v>29</c:v>
                </c:pt>
                <c:pt idx="24">
                  <c:v>18</c:v>
                </c:pt>
                <c:pt idx="25">
                  <c:v>30</c:v>
                </c:pt>
                <c:pt idx="26">
                  <c:v>11</c:v>
                </c:pt>
                <c:pt idx="27">
                  <c:v>28</c:v>
                </c:pt>
                <c:pt idx="28">
                  <c:v>32</c:v>
                </c:pt>
                <c:pt idx="29">
                  <c:v>14</c:v>
                </c:pt>
                <c:pt idx="30">
                  <c:v>25</c:v>
                </c:pt>
                <c:pt idx="31">
                  <c:v>37</c:v>
                </c:pt>
                <c:pt idx="32">
                  <c:v>27</c:v>
                </c:pt>
                <c:pt idx="33">
                  <c:v>23</c:v>
                </c:pt>
                <c:pt idx="34">
                  <c:v>26</c:v>
                </c:pt>
                <c:pt idx="35">
                  <c:v>36</c:v>
                </c:pt>
                <c:pt idx="36">
                  <c:v>42</c:v>
                </c:pt>
                <c:pt idx="37">
                  <c:v>12</c:v>
                </c:pt>
                <c:pt idx="38">
                  <c:v>47</c:v>
                </c:pt>
                <c:pt idx="39">
                  <c:v>46</c:v>
                </c:pt>
                <c:pt idx="40">
                  <c:v>50</c:v>
                </c:pt>
                <c:pt idx="41">
                  <c:v>21</c:v>
                </c:pt>
                <c:pt idx="42">
                  <c:v>45</c:v>
                </c:pt>
                <c:pt idx="43">
                  <c:v>41</c:v>
                </c:pt>
                <c:pt idx="44">
                  <c:v>38</c:v>
                </c:pt>
                <c:pt idx="45">
                  <c:v>35</c:v>
                </c:pt>
                <c:pt idx="46">
                  <c:v>33</c:v>
                </c:pt>
                <c:pt idx="47">
                  <c:v>48</c:v>
                </c:pt>
                <c:pt idx="48">
                  <c:v>44</c:v>
                </c:pt>
                <c:pt idx="4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26-D24B-BF5F-6B55E5B48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4376128"/>
        <c:axId val="1754366160"/>
      </c:scatterChart>
      <c:valAx>
        <c:axId val="175437612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366160"/>
        <c:crosses val="autoZero"/>
        <c:crossBetween val="midCat"/>
      </c:valAx>
      <c:valAx>
        <c:axId val="175436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3761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1'!$BF$1</c:f>
              <c:strCache>
                <c:ptCount val="1"/>
                <c:pt idx="0">
                  <c:v>overall_score_rank_original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1'!$BD$2:$BD$51</c:f>
              <c:numCache>
                <c:formatCode>General</c:formatCode>
                <c:ptCount val="50"/>
                <c:pt idx="0">
                  <c:v>2</c:v>
                </c:pt>
                <c:pt idx="1">
                  <c:v>5</c:v>
                </c:pt>
                <c:pt idx="2">
                  <c:v>8</c:v>
                </c:pt>
                <c:pt idx="3">
                  <c:v>6</c:v>
                </c:pt>
                <c:pt idx="4">
                  <c:v>7</c:v>
                </c:pt>
                <c:pt idx="5">
                  <c:v>1</c:v>
                </c:pt>
                <c:pt idx="6">
                  <c:v>4</c:v>
                </c:pt>
                <c:pt idx="7">
                  <c:v>9</c:v>
                </c:pt>
                <c:pt idx="8">
                  <c:v>10</c:v>
                </c:pt>
                <c:pt idx="9">
                  <c:v>3</c:v>
                </c:pt>
                <c:pt idx="10">
                  <c:v>14</c:v>
                </c:pt>
                <c:pt idx="11">
                  <c:v>15</c:v>
                </c:pt>
                <c:pt idx="12">
                  <c:v>12</c:v>
                </c:pt>
                <c:pt idx="13">
                  <c:v>11</c:v>
                </c:pt>
                <c:pt idx="14">
                  <c:v>19</c:v>
                </c:pt>
                <c:pt idx="15">
                  <c:v>22</c:v>
                </c:pt>
                <c:pt idx="16">
                  <c:v>21</c:v>
                </c:pt>
                <c:pt idx="17">
                  <c:v>17</c:v>
                </c:pt>
                <c:pt idx="18">
                  <c:v>18</c:v>
                </c:pt>
                <c:pt idx="19">
                  <c:v>13</c:v>
                </c:pt>
                <c:pt idx="20">
                  <c:v>20</c:v>
                </c:pt>
                <c:pt idx="21">
                  <c:v>23</c:v>
                </c:pt>
                <c:pt idx="22">
                  <c:v>16</c:v>
                </c:pt>
                <c:pt idx="23">
                  <c:v>29</c:v>
                </c:pt>
                <c:pt idx="24">
                  <c:v>28</c:v>
                </c:pt>
                <c:pt idx="25">
                  <c:v>26</c:v>
                </c:pt>
                <c:pt idx="26">
                  <c:v>24</c:v>
                </c:pt>
                <c:pt idx="27">
                  <c:v>25</c:v>
                </c:pt>
                <c:pt idx="28">
                  <c:v>27</c:v>
                </c:pt>
                <c:pt idx="29">
                  <c:v>31</c:v>
                </c:pt>
                <c:pt idx="30">
                  <c:v>35</c:v>
                </c:pt>
                <c:pt idx="31">
                  <c:v>30</c:v>
                </c:pt>
                <c:pt idx="32">
                  <c:v>32</c:v>
                </c:pt>
                <c:pt idx="33">
                  <c:v>34</c:v>
                </c:pt>
                <c:pt idx="34">
                  <c:v>39</c:v>
                </c:pt>
                <c:pt idx="35">
                  <c:v>37</c:v>
                </c:pt>
                <c:pt idx="36">
                  <c:v>45</c:v>
                </c:pt>
                <c:pt idx="37">
                  <c:v>46</c:v>
                </c:pt>
                <c:pt idx="38">
                  <c:v>41</c:v>
                </c:pt>
                <c:pt idx="39">
                  <c:v>43</c:v>
                </c:pt>
                <c:pt idx="40">
                  <c:v>42</c:v>
                </c:pt>
                <c:pt idx="41">
                  <c:v>48</c:v>
                </c:pt>
                <c:pt idx="42">
                  <c:v>38</c:v>
                </c:pt>
                <c:pt idx="43">
                  <c:v>44</c:v>
                </c:pt>
                <c:pt idx="44">
                  <c:v>36</c:v>
                </c:pt>
                <c:pt idx="45">
                  <c:v>47</c:v>
                </c:pt>
                <c:pt idx="46">
                  <c:v>40</c:v>
                </c:pt>
                <c:pt idx="47">
                  <c:v>49</c:v>
                </c:pt>
                <c:pt idx="48">
                  <c:v>33</c:v>
                </c:pt>
                <c:pt idx="49">
                  <c:v>50</c:v>
                </c:pt>
              </c:numCache>
            </c:numRef>
          </c:xVal>
          <c:yVal>
            <c:numRef>
              <c:f>'Sheet 1'!$BF$2:$BF$51</c:f>
              <c:numCache>
                <c:formatCode>General</c:formatCode>
                <c:ptCount val="50"/>
                <c:pt idx="0">
                  <c:v>7</c:v>
                </c:pt>
                <c:pt idx="1">
                  <c:v>9</c:v>
                </c:pt>
                <c:pt idx="2">
                  <c:v>40</c:v>
                </c:pt>
                <c:pt idx="3">
                  <c:v>34</c:v>
                </c:pt>
                <c:pt idx="4">
                  <c:v>17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43</c:v>
                </c:pt>
                <c:pt idx="11">
                  <c:v>6</c:v>
                </c:pt>
                <c:pt idx="12">
                  <c:v>20</c:v>
                </c:pt>
                <c:pt idx="13">
                  <c:v>19</c:v>
                </c:pt>
                <c:pt idx="14">
                  <c:v>8</c:v>
                </c:pt>
                <c:pt idx="15">
                  <c:v>22</c:v>
                </c:pt>
                <c:pt idx="16">
                  <c:v>1</c:v>
                </c:pt>
                <c:pt idx="17">
                  <c:v>16</c:v>
                </c:pt>
                <c:pt idx="18">
                  <c:v>39</c:v>
                </c:pt>
                <c:pt idx="19">
                  <c:v>15</c:v>
                </c:pt>
                <c:pt idx="20">
                  <c:v>13</c:v>
                </c:pt>
                <c:pt idx="21">
                  <c:v>31</c:v>
                </c:pt>
                <c:pt idx="22">
                  <c:v>24</c:v>
                </c:pt>
                <c:pt idx="23">
                  <c:v>29</c:v>
                </c:pt>
                <c:pt idx="24">
                  <c:v>18</c:v>
                </c:pt>
                <c:pt idx="25">
                  <c:v>30</c:v>
                </c:pt>
                <c:pt idx="26">
                  <c:v>11</c:v>
                </c:pt>
                <c:pt idx="27">
                  <c:v>28</c:v>
                </c:pt>
                <c:pt idx="28">
                  <c:v>32</c:v>
                </c:pt>
                <c:pt idx="29">
                  <c:v>14</c:v>
                </c:pt>
                <c:pt idx="30">
                  <c:v>25</c:v>
                </c:pt>
                <c:pt idx="31">
                  <c:v>37</c:v>
                </c:pt>
                <c:pt idx="32">
                  <c:v>27</c:v>
                </c:pt>
                <c:pt idx="33">
                  <c:v>23</c:v>
                </c:pt>
                <c:pt idx="34">
                  <c:v>26</c:v>
                </c:pt>
                <c:pt idx="35">
                  <c:v>36</c:v>
                </c:pt>
                <c:pt idx="36">
                  <c:v>42</c:v>
                </c:pt>
                <c:pt idx="37">
                  <c:v>12</c:v>
                </c:pt>
                <c:pt idx="38">
                  <c:v>47</c:v>
                </c:pt>
                <c:pt idx="39">
                  <c:v>46</c:v>
                </c:pt>
                <c:pt idx="40">
                  <c:v>50</c:v>
                </c:pt>
                <c:pt idx="41">
                  <c:v>21</c:v>
                </c:pt>
                <c:pt idx="42">
                  <c:v>45</c:v>
                </c:pt>
                <c:pt idx="43">
                  <c:v>41</c:v>
                </c:pt>
                <c:pt idx="44">
                  <c:v>38</c:v>
                </c:pt>
                <c:pt idx="45">
                  <c:v>35</c:v>
                </c:pt>
                <c:pt idx="46">
                  <c:v>33</c:v>
                </c:pt>
                <c:pt idx="47">
                  <c:v>48</c:v>
                </c:pt>
                <c:pt idx="48">
                  <c:v>44</c:v>
                </c:pt>
                <c:pt idx="4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73-B24E-BE0D-C5524F227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3832160"/>
        <c:axId val="1353833808"/>
      </c:scatterChart>
      <c:valAx>
        <c:axId val="1353832160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33808"/>
        <c:crosses val="autoZero"/>
        <c:crossBetween val="midCat"/>
      </c:valAx>
      <c:valAx>
        <c:axId val="135383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832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 1'!$BF$1</c:f>
              <c:strCache>
                <c:ptCount val="1"/>
                <c:pt idx="0">
                  <c:v>overall_score_rank_original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'Sheet 1'!$BE$2:$BE$51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xVal>
          <c:yVal>
            <c:numRef>
              <c:f>'Sheet 1'!$BF$2:$BF$51</c:f>
              <c:numCache>
                <c:formatCode>General</c:formatCode>
                <c:ptCount val="50"/>
                <c:pt idx="0">
                  <c:v>7</c:v>
                </c:pt>
                <c:pt idx="1">
                  <c:v>9</c:v>
                </c:pt>
                <c:pt idx="2">
                  <c:v>40</c:v>
                </c:pt>
                <c:pt idx="3">
                  <c:v>34</c:v>
                </c:pt>
                <c:pt idx="4">
                  <c:v>17</c:v>
                </c:pt>
                <c:pt idx="5">
                  <c:v>2</c:v>
                </c:pt>
                <c:pt idx="6">
                  <c:v>10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43</c:v>
                </c:pt>
                <c:pt idx="11">
                  <c:v>6</c:v>
                </c:pt>
                <c:pt idx="12">
                  <c:v>20</c:v>
                </c:pt>
                <c:pt idx="13">
                  <c:v>19</c:v>
                </c:pt>
                <c:pt idx="14">
                  <c:v>8</c:v>
                </c:pt>
                <c:pt idx="15">
                  <c:v>22</c:v>
                </c:pt>
                <c:pt idx="16">
                  <c:v>1</c:v>
                </c:pt>
                <c:pt idx="17">
                  <c:v>16</c:v>
                </c:pt>
                <c:pt idx="18">
                  <c:v>39</c:v>
                </c:pt>
                <c:pt idx="19">
                  <c:v>15</c:v>
                </c:pt>
                <c:pt idx="20">
                  <c:v>13</c:v>
                </c:pt>
                <c:pt idx="21">
                  <c:v>31</c:v>
                </c:pt>
                <c:pt idx="22">
                  <c:v>24</c:v>
                </c:pt>
                <c:pt idx="23">
                  <c:v>29</c:v>
                </c:pt>
                <c:pt idx="24">
                  <c:v>18</c:v>
                </c:pt>
                <c:pt idx="25">
                  <c:v>30</c:v>
                </c:pt>
                <c:pt idx="26">
                  <c:v>11</c:v>
                </c:pt>
                <c:pt idx="27">
                  <c:v>28</c:v>
                </c:pt>
                <c:pt idx="28">
                  <c:v>32</c:v>
                </c:pt>
                <c:pt idx="29">
                  <c:v>14</c:v>
                </c:pt>
                <c:pt idx="30">
                  <c:v>25</c:v>
                </c:pt>
                <c:pt idx="31">
                  <c:v>37</c:v>
                </c:pt>
                <c:pt idx="32">
                  <c:v>27</c:v>
                </c:pt>
                <c:pt idx="33">
                  <c:v>23</c:v>
                </c:pt>
                <c:pt idx="34">
                  <c:v>26</c:v>
                </c:pt>
                <c:pt idx="35">
                  <c:v>36</c:v>
                </c:pt>
                <c:pt idx="36">
                  <c:v>42</c:v>
                </c:pt>
                <c:pt idx="37">
                  <c:v>12</c:v>
                </c:pt>
                <c:pt idx="38">
                  <c:v>47</c:v>
                </c:pt>
                <c:pt idx="39">
                  <c:v>46</c:v>
                </c:pt>
                <c:pt idx="40">
                  <c:v>50</c:v>
                </c:pt>
                <c:pt idx="41">
                  <c:v>21</c:v>
                </c:pt>
                <c:pt idx="42">
                  <c:v>45</c:v>
                </c:pt>
                <c:pt idx="43">
                  <c:v>41</c:v>
                </c:pt>
                <c:pt idx="44">
                  <c:v>38</c:v>
                </c:pt>
                <c:pt idx="45">
                  <c:v>35</c:v>
                </c:pt>
                <c:pt idx="46">
                  <c:v>33</c:v>
                </c:pt>
                <c:pt idx="47">
                  <c:v>48</c:v>
                </c:pt>
                <c:pt idx="48">
                  <c:v>44</c:v>
                </c:pt>
                <c:pt idx="4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5A-3F48-88E1-46935B0C5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1070048"/>
        <c:axId val="1330251040"/>
      </c:scatterChart>
      <c:valAx>
        <c:axId val="147107004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0251040"/>
        <c:crosses val="autoZero"/>
        <c:crossBetween val="midCat"/>
      </c:valAx>
      <c:valAx>
        <c:axId val="133025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10700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58</xdr:col>
      <xdr:colOff>806450</xdr:colOff>
      <xdr:row>6</xdr:row>
      <xdr:rowOff>12706</xdr:rowOff>
    </xdr:from>
    <xdr:to>
      <xdr:col>68</xdr:col>
      <xdr:colOff>431800</xdr:colOff>
      <xdr:row>27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C993E7-F560-58D3-F9C9-69F9700BF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819150</xdr:colOff>
      <xdr:row>29</xdr:row>
      <xdr:rowOff>127000</xdr:rowOff>
    </xdr:from>
    <xdr:to>
      <xdr:col>68</xdr:col>
      <xdr:colOff>508000</xdr:colOff>
      <xdr:row>49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7E4801-4CFE-AA01-C6DF-7EB1E5256A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59</xdr:col>
      <xdr:colOff>120650</xdr:colOff>
      <xdr:row>50</xdr:row>
      <xdr:rowOff>152400</xdr:rowOff>
    </xdr:from>
    <xdr:to>
      <xdr:col>68</xdr:col>
      <xdr:colOff>266700</xdr:colOff>
      <xdr:row>70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2808C1-C625-940B-2F4E-C2CD780C6B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52"/>
  <sheetViews>
    <sheetView tabSelected="1" zoomScale="115" zoomScaleNormal="100" workbookViewId="0">
      <pane xSplit="2" ySplit="1" topLeftCell="AU2" activePane="bottomRight" state="frozen"/>
      <selection pane="topRight" activeCell="C1" sqref="C1"/>
      <selection pane="bottomLeft" activeCell="A2" sqref="A2"/>
      <selection pane="bottomRight" activeCell="BD1" sqref="BD1:BD1048576"/>
    </sheetView>
  </sheetViews>
  <sheetFormatPr baseColWidth="10" defaultRowHeight="15" x14ac:dyDescent="0.2"/>
  <cols>
    <col min="1" max="2" width="10.83203125" style="1"/>
    <col min="3" max="3" width="11.1640625" style="1" bestFit="1" customWidth="1"/>
    <col min="4" max="4" width="12.6640625" style="1" bestFit="1" customWidth="1"/>
    <col min="5" max="5" width="11" style="1" bestFit="1" customWidth="1"/>
    <col min="6" max="7" width="13.6640625" style="1" bestFit="1" customWidth="1"/>
    <col min="8" max="8" width="12.6640625" style="1" bestFit="1" customWidth="1"/>
    <col min="9" max="9" width="14.6640625" style="1" bestFit="1" customWidth="1"/>
    <col min="10" max="19" width="11" style="1" bestFit="1" customWidth="1"/>
    <col min="20" max="20" width="11.1640625" style="1" bestFit="1" customWidth="1"/>
    <col min="21" max="22" width="12.6640625" style="1" bestFit="1" customWidth="1"/>
    <col min="23" max="23" width="11.1640625" style="1" bestFit="1" customWidth="1"/>
    <col min="24" max="24" width="11" style="1" bestFit="1" customWidth="1"/>
    <col min="25" max="26" width="11.1640625" style="1" bestFit="1" customWidth="1"/>
    <col min="27" max="28" width="12.6640625" style="1" bestFit="1" customWidth="1"/>
    <col min="29" max="29" width="12.6640625" style="1" customWidth="1"/>
    <col min="30" max="30" width="11.1640625" style="1" bestFit="1" customWidth="1"/>
    <col min="31" max="39" width="11" style="1" bestFit="1" customWidth="1"/>
    <col min="40" max="40" width="11" style="2" bestFit="1" customWidth="1"/>
    <col min="44" max="44" width="11" style="2" customWidth="1"/>
    <col min="45" max="45" width="32.83203125" style="1" bestFit="1" customWidth="1"/>
    <col min="46" max="46" width="19.83203125" style="1" customWidth="1"/>
    <col min="47" max="47" width="24.6640625" style="1" customWidth="1"/>
    <col min="48" max="54" width="11" style="1" bestFit="1" customWidth="1"/>
    <col min="55" max="55" width="19" style="1" bestFit="1" customWidth="1"/>
    <col min="56" max="57" width="19" style="1" customWidth="1"/>
    <col min="58" max="58" width="24.83203125" style="1" bestFit="1" customWidth="1"/>
    <col min="59" max="16384" width="10.83203125" style="1"/>
  </cols>
  <sheetData>
    <row r="1" spans="1:5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2" t="s">
        <v>37</v>
      </c>
      <c r="AO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t="s">
        <v>101</v>
      </c>
      <c r="BE1" t="s">
        <v>102</v>
      </c>
      <c r="BF1" t="s">
        <v>100</v>
      </c>
    </row>
    <row r="2" spans="1:58" x14ac:dyDescent="0.2">
      <c r="A2" s="1">
        <v>44</v>
      </c>
      <c r="B2" s="1" t="s">
        <v>92</v>
      </c>
      <c r="C2" s="1">
        <v>5874.9939999999997</v>
      </c>
      <c r="D2" s="1">
        <v>16022.842000000001</v>
      </c>
      <c r="E2" s="1">
        <v>2.72729504064174</v>
      </c>
      <c r="F2" s="1">
        <v>948408.08080808097</v>
      </c>
      <c r="G2" s="1">
        <v>260815.15151515201</v>
      </c>
      <c r="H2" s="1">
        <v>68159.595959596001</v>
      </c>
      <c r="I2" s="1">
        <v>1694491.91919192</v>
      </c>
      <c r="J2" s="1">
        <v>2.0779999999999998</v>
      </c>
      <c r="K2" s="1">
        <v>684.64099999999996</v>
      </c>
      <c r="L2" s="1">
        <v>5.09</v>
      </c>
      <c r="M2" s="1">
        <v>1191.271</v>
      </c>
      <c r="N2" s="1">
        <v>6.8220000000000001</v>
      </c>
      <c r="O2" s="1">
        <v>253.41800000000001</v>
      </c>
      <c r="P2" s="1">
        <v>20.661999999999999</v>
      </c>
      <c r="Q2" s="1">
        <v>656.245</v>
      </c>
      <c r="R2" s="1">
        <v>111</v>
      </c>
      <c r="S2" s="1">
        <v>165</v>
      </c>
      <c r="T2" s="1">
        <v>8776.5488999999998</v>
      </c>
      <c r="U2" s="1">
        <v>21474.634580000002</v>
      </c>
      <c r="V2" s="1">
        <v>30251.18348</v>
      </c>
      <c r="W2" s="1">
        <v>3056</v>
      </c>
      <c r="X2" s="1">
        <v>63</v>
      </c>
      <c r="Y2" s="1">
        <v>1263</v>
      </c>
      <c r="Z2" s="1">
        <v>2528</v>
      </c>
      <c r="AA2" s="1">
        <v>13889.779827463601</v>
      </c>
      <c r="AB2" s="1">
        <v>14876.220172536399</v>
      </c>
      <c r="AD2" s="1">
        <v>31351.1066909201</v>
      </c>
      <c r="AE2" s="1">
        <v>8621.6511723445292</v>
      </c>
      <c r="AF2" s="1">
        <v>2253.1216342216298</v>
      </c>
      <c r="AG2" s="1">
        <v>0.30351673358738401</v>
      </c>
      <c r="AH2" s="1">
        <v>2.6919950437616902</v>
      </c>
      <c r="AI2" s="1">
        <v>0.42727473429639401</v>
      </c>
      <c r="AJ2" s="1">
        <v>2.0615183246073299</v>
      </c>
      <c r="AK2" s="1">
        <v>1.2647340231876301</v>
      </c>
      <c r="AL2" s="1">
        <v>0.76834834783950001</v>
      </c>
      <c r="AM2" s="1">
        <v>16.882031142492</v>
      </c>
      <c r="AN2" s="2">
        <v>0.61986519740356605</v>
      </c>
      <c r="AO2">
        <v>0.63495155133007497</v>
      </c>
      <c r="AP2" s="3">
        <f>AVERAGE(AN2:AO2)</f>
        <v>0.62740837436682051</v>
      </c>
      <c r="AQ2" s="3">
        <f>RANK(AP2,$AP$2:$AP$51,1)</f>
        <v>1</v>
      </c>
      <c r="AS2" s="1">
        <v>33</v>
      </c>
      <c r="AT2" s="1">
        <v>26</v>
      </c>
      <c r="AU2" s="1">
        <v>17</v>
      </c>
      <c r="AV2" s="1">
        <v>4</v>
      </c>
      <c r="AW2" s="1">
        <v>20</v>
      </c>
      <c r="AX2" s="1">
        <v>11</v>
      </c>
      <c r="AY2" s="1">
        <v>5</v>
      </c>
      <c r="AZ2" s="1">
        <v>8</v>
      </c>
      <c r="BA2" s="1">
        <v>10</v>
      </c>
      <c r="BB2" s="1">
        <v>14</v>
      </c>
      <c r="BC2" s="1">
        <v>1</v>
      </c>
      <c r="BD2">
        <v>2</v>
      </c>
      <c r="BE2">
        <v>1</v>
      </c>
      <c r="BF2">
        <v>7</v>
      </c>
    </row>
    <row r="3" spans="1:58" x14ac:dyDescent="0.2">
      <c r="A3" s="1">
        <v>42</v>
      </c>
      <c r="B3" s="1" t="s">
        <v>90</v>
      </c>
      <c r="C3" s="1">
        <v>14065.821</v>
      </c>
      <c r="D3" s="1">
        <v>37746.436999999998</v>
      </c>
      <c r="E3" s="1">
        <v>2.6835573266572901</v>
      </c>
      <c r="F3" s="1">
        <v>1317223.5955056199</v>
      </c>
      <c r="G3" s="1">
        <v>453596.62921348301</v>
      </c>
      <c r="H3" s="1">
        <v>264377.52808988799</v>
      </c>
      <c r="I3" s="1">
        <v>2074342.6966292099</v>
      </c>
      <c r="J3" s="1">
        <v>4.2889999999999997</v>
      </c>
      <c r="K3" s="1">
        <v>644.56600000000003</v>
      </c>
      <c r="L3" s="1">
        <v>8.0250000000000004</v>
      </c>
      <c r="M3" s="1">
        <v>1704.905</v>
      </c>
      <c r="N3" s="1">
        <v>9.2309999999999999</v>
      </c>
      <c r="O3" s="1">
        <v>556.43399999999997</v>
      </c>
      <c r="P3" s="1">
        <v>91.120999999999995</v>
      </c>
      <c r="Q3" s="1">
        <v>1833.03</v>
      </c>
      <c r="R3" s="1">
        <v>513</v>
      </c>
      <c r="S3" s="1">
        <v>703</v>
      </c>
      <c r="T3" s="1">
        <v>24955.403969999999</v>
      </c>
      <c r="U3" s="1">
        <v>51437.070970000001</v>
      </c>
      <c r="V3" s="1">
        <v>76392.47494</v>
      </c>
      <c r="W3" s="1">
        <v>20331</v>
      </c>
      <c r="X3" s="1">
        <v>841</v>
      </c>
      <c r="Y3" s="1">
        <v>1913.8799738653399</v>
      </c>
      <c r="Z3" s="1">
        <v>3597.7887606668401</v>
      </c>
      <c r="AA3" s="1">
        <v>25438.7150446382</v>
      </c>
      <c r="AB3" s="1">
        <v>32796.296363948197</v>
      </c>
      <c r="AD3" s="1">
        <v>17242.8448815173</v>
      </c>
      <c r="AE3" s="1">
        <v>5937.7134929814201</v>
      </c>
      <c r="AF3" s="1">
        <v>3460.7797207451999</v>
      </c>
      <c r="AG3" s="1">
        <v>0.66540897285925704</v>
      </c>
      <c r="AH3" s="1">
        <v>1.6589568574170499</v>
      </c>
      <c r="AI3" s="1">
        <v>0.470700713529493</v>
      </c>
      <c r="AJ3" s="1">
        <v>4.1365402587182096</v>
      </c>
      <c r="AK3" s="1">
        <v>2.0556669834585701</v>
      </c>
      <c r="AL3" s="1">
        <v>1.36671856842318</v>
      </c>
      <c r="AM3" s="1">
        <v>22.407379698470201</v>
      </c>
      <c r="AN3" s="2">
        <v>0.72168047057081697</v>
      </c>
      <c r="AO3">
        <v>0.68812007131972697</v>
      </c>
      <c r="AP3" s="3">
        <f>AVERAGE(AN3:AO3)</f>
        <v>0.70490027094527197</v>
      </c>
      <c r="AQ3" s="3">
        <f>RANK(AP3,$AP$2:$AP$51,1)</f>
        <v>2</v>
      </c>
      <c r="AS3" s="1">
        <v>6</v>
      </c>
      <c r="AT3" s="1">
        <v>12</v>
      </c>
      <c r="AU3" s="1">
        <v>28</v>
      </c>
      <c r="AV3" s="1">
        <v>12</v>
      </c>
      <c r="AW3" s="1">
        <v>10</v>
      </c>
      <c r="AX3" s="1">
        <v>13</v>
      </c>
      <c r="AY3" s="1">
        <v>11</v>
      </c>
      <c r="AZ3" s="1">
        <v>38</v>
      </c>
      <c r="BA3" s="1">
        <v>47</v>
      </c>
      <c r="BB3" s="1">
        <v>29</v>
      </c>
      <c r="BC3" s="1">
        <v>4</v>
      </c>
      <c r="BD3">
        <v>5</v>
      </c>
      <c r="BE3">
        <v>2</v>
      </c>
      <c r="BF3">
        <v>9</v>
      </c>
    </row>
    <row r="4" spans="1:58" x14ac:dyDescent="0.2">
      <c r="A4" s="1">
        <v>9</v>
      </c>
      <c r="B4" s="1" t="s">
        <v>57</v>
      </c>
      <c r="C4" s="1">
        <v>12135.832</v>
      </c>
      <c r="D4" s="1">
        <v>45012.826000000001</v>
      </c>
      <c r="E4" s="1">
        <v>3.70908446985753</v>
      </c>
      <c r="F4" s="1">
        <v>6490265.2043868396</v>
      </c>
      <c r="G4" s="1">
        <v>1491363.90827517</v>
      </c>
      <c r="H4" s="1">
        <v>449067.79661016999</v>
      </c>
      <c r="I4" s="1">
        <v>10854203.3898305</v>
      </c>
      <c r="J4" s="1">
        <v>1.099</v>
      </c>
      <c r="K4" s="1">
        <v>717.26700000000005</v>
      </c>
      <c r="L4" s="1">
        <v>4.351</v>
      </c>
      <c r="M4" s="1">
        <v>2596.855</v>
      </c>
      <c r="N4" s="1">
        <v>12.393000000000001</v>
      </c>
      <c r="O4" s="1">
        <v>777.899</v>
      </c>
      <c r="P4" s="1">
        <v>81.075000000000003</v>
      </c>
      <c r="Q4" s="1">
        <v>3879.9580000000001</v>
      </c>
      <c r="R4" s="1">
        <v>741</v>
      </c>
      <c r="S4" s="1">
        <v>2265</v>
      </c>
      <c r="T4" s="1">
        <v>35241.018060000002</v>
      </c>
      <c r="U4" s="1">
        <v>172834.90083</v>
      </c>
      <c r="V4" s="1">
        <v>208075.91888000001</v>
      </c>
      <c r="W4" s="1">
        <v>12680</v>
      </c>
      <c r="X4" s="1">
        <v>459</v>
      </c>
      <c r="Y4" s="1">
        <v>9347.2306211020004</v>
      </c>
      <c r="Z4" s="1">
        <v>18492.052103918999</v>
      </c>
      <c r="AA4" s="1">
        <v>87946.902024804804</v>
      </c>
      <c r="AB4" s="1">
        <v>173172.47031626099</v>
      </c>
      <c r="AD4" s="1">
        <v>31191.813254131801</v>
      </c>
      <c r="AE4" s="1">
        <v>7167.4027263830703</v>
      </c>
      <c r="AF4" s="1">
        <v>2158.19206291312</v>
      </c>
      <c r="AG4" s="1">
        <v>0.15322048832582599</v>
      </c>
      <c r="AH4" s="1">
        <v>1.5931374124404301</v>
      </c>
      <c r="AI4" s="1">
        <v>0.16754882348071001</v>
      </c>
      <c r="AJ4" s="1">
        <v>3.6198738170347</v>
      </c>
      <c r="AK4" s="1">
        <v>2.1026634325330802</v>
      </c>
      <c r="AL4" s="1">
        <v>1.31049920422487</v>
      </c>
      <c r="AM4" s="1">
        <v>18.773569889424198</v>
      </c>
      <c r="AN4" s="2">
        <v>0.67306669703805699</v>
      </c>
      <c r="AO4">
        <v>0.73861641606469197</v>
      </c>
      <c r="AP4" s="3">
        <f>AVERAGE(AN4:AO4)</f>
        <v>0.70584155655137448</v>
      </c>
      <c r="AQ4" s="3">
        <f>RANK(AP4,$AP$2:$AP$51,1)</f>
        <v>3</v>
      </c>
      <c r="AS4" s="1">
        <v>32</v>
      </c>
      <c r="AT4" s="1">
        <v>19</v>
      </c>
      <c r="AU4" s="1">
        <v>15</v>
      </c>
      <c r="AV4" s="1">
        <v>1</v>
      </c>
      <c r="AW4" s="1">
        <v>9</v>
      </c>
      <c r="AX4" s="1">
        <v>2</v>
      </c>
      <c r="AY4" s="1">
        <v>8</v>
      </c>
      <c r="AZ4" s="1">
        <v>42</v>
      </c>
      <c r="BA4" s="1">
        <v>46</v>
      </c>
      <c r="BB4" s="1">
        <v>18</v>
      </c>
      <c r="BC4" s="1">
        <v>2</v>
      </c>
      <c r="BD4">
        <v>8</v>
      </c>
      <c r="BE4">
        <v>3</v>
      </c>
      <c r="BF4">
        <v>40</v>
      </c>
    </row>
    <row r="5" spans="1:58" x14ac:dyDescent="0.2">
      <c r="A5" s="1">
        <v>7</v>
      </c>
      <c r="B5" s="1" t="s">
        <v>55</v>
      </c>
      <c r="C5" s="1">
        <v>3715.2</v>
      </c>
      <c r="D5" s="1">
        <v>9827.2199999999993</v>
      </c>
      <c r="E5" s="1">
        <v>2.6451388888888898</v>
      </c>
      <c r="F5" s="1">
        <v>763186.67763157899</v>
      </c>
      <c r="G5" s="1">
        <v>219100.32894736799</v>
      </c>
      <c r="H5" s="1">
        <v>65407.072368421097</v>
      </c>
      <c r="I5" s="1">
        <v>1663851.1513157899</v>
      </c>
      <c r="J5" s="1">
        <v>0.21</v>
      </c>
      <c r="K5" s="1">
        <v>28.74</v>
      </c>
      <c r="L5" s="1">
        <v>0.96</v>
      </c>
      <c r="M5" s="1">
        <v>121.97</v>
      </c>
      <c r="N5" s="1">
        <v>5</v>
      </c>
      <c r="O5" s="1">
        <v>317.60000000000002</v>
      </c>
      <c r="P5" s="1">
        <v>69.97</v>
      </c>
      <c r="Q5" s="1">
        <v>698</v>
      </c>
      <c r="R5" s="1">
        <v>46</v>
      </c>
      <c r="S5" s="1">
        <v>248</v>
      </c>
      <c r="T5" s="1">
        <v>2936.4963200000002</v>
      </c>
      <c r="U5" s="1">
        <v>26908.441940000001</v>
      </c>
      <c r="V5" s="1">
        <v>29844.938259999999</v>
      </c>
      <c r="W5" s="1">
        <v>4361</v>
      </c>
      <c r="X5" s="1">
        <v>231</v>
      </c>
      <c r="Y5" s="1">
        <v>1624.3460392524801</v>
      </c>
      <c r="Z5" s="1">
        <v>3213.62915570837</v>
      </c>
      <c r="AA5" s="1">
        <v>31308.623841241901</v>
      </c>
      <c r="AB5" s="1">
        <v>34796.219332944798</v>
      </c>
      <c r="AD5" s="1">
        <v>25571.729148270599</v>
      </c>
      <c r="AE5" s="1">
        <v>7341.28940186216</v>
      </c>
      <c r="AF5" s="1">
        <v>2191.5633330722499</v>
      </c>
      <c r="AG5" s="1">
        <v>0.73068893528183698</v>
      </c>
      <c r="AH5" s="1">
        <v>1.57430730478589</v>
      </c>
      <c r="AI5" s="1">
        <v>0.78707878986636104</v>
      </c>
      <c r="AJ5" s="1">
        <v>5.2969502407704701</v>
      </c>
      <c r="AK5" s="1">
        <v>1.5664926833621899</v>
      </c>
      <c r="AL5" s="1">
        <v>0.92164384899351004</v>
      </c>
      <c r="AM5" s="1">
        <v>30.102304415732601</v>
      </c>
      <c r="AN5" s="2">
        <v>0.73702066720886406</v>
      </c>
      <c r="AO5">
        <v>0.70257233134459196</v>
      </c>
      <c r="AP5" s="3">
        <f>AVERAGE(AN5:AO5)</f>
        <v>0.71979649927672806</v>
      </c>
      <c r="AQ5" s="3">
        <f>RANK(AP5,$AP$2:$AP$51,1)</f>
        <v>4</v>
      </c>
      <c r="AS5" s="1">
        <v>24</v>
      </c>
      <c r="AT5" s="1">
        <v>20</v>
      </c>
      <c r="AU5" s="1">
        <v>16</v>
      </c>
      <c r="AV5" s="1">
        <v>13</v>
      </c>
      <c r="AW5" s="1">
        <v>8</v>
      </c>
      <c r="AX5" s="1">
        <v>21</v>
      </c>
      <c r="AY5" s="1">
        <v>22</v>
      </c>
      <c r="AZ5" s="1">
        <v>25</v>
      </c>
      <c r="BA5" s="1">
        <v>20</v>
      </c>
      <c r="BB5" s="1">
        <v>42</v>
      </c>
      <c r="BC5" s="1">
        <v>6</v>
      </c>
      <c r="BD5">
        <v>6</v>
      </c>
      <c r="BE5">
        <v>4</v>
      </c>
      <c r="BF5">
        <v>34</v>
      </c>
    </row>
    <row r="6" spans="1:58" x14ac:dyDescent="0.2">
      <c r="A6" s="1">
        <v>10</v>
      </c>
      <c r="B6" s="1" t="s">
        <v>58</v>
      </c>
      <c r="C6" s="1">
        <v>17923.170999999998</v>
      </c>
      <c r="D6" s="1">
        <v>49496.955000000002</v>
      </c>
      <c r="E6" s="1">
        <v>2.7616181868710599</v>
      </c>
      <c r="F6" s="1">
        <v>1762002.25225225</v>
      </c>
      <c r="G6" s="1">
        <v>694677.92792792805</v>
      </c>
      <c r="H6" s="1">
        <v>545112.61261261301</v>
      </c>
      <c r="I6" s="1">
        <v>3723695.9459459502</v>
      </c>
      <c r="J6" s="1">
        <v>4.875</v>
      </c>
      <c r="K6" s="1">
        <v>538.25099999999998</v>
      </c>
      <c r="L6" s="1">
        <v>9.2720000000000002</v>
      </c>
      <c r="M6" s="1">
        <v>2428.3629999999998</v>
      </c>
      <c r="N6" s="1">
        <v>9.6280000000000001</v>
      </c>
      <c r="O6" s="1">
        <v>708.81</v>
      </c>
      <c r="P6" s="1">
        <v>46.454999999999998</v>
      </c>
      <c r="Q6" s="1">
        <v>2355.549</v>
      </c>
      <c r="R6" s="1">
        <v>647</v>
      </c>
      <c r="S6" s="1">
        <v>1014</v>
      </c>
      <c r="T6" s="1">
        <v>28983.825529999998</v>
      </c>
      <c r="U6" s="1">
        <v>86983.001069999998</v>
      </c>
      <c r="V6" s="1">
        <v>115966.8266</v>
      </c>
      <c r="W6" s="1">
        <v>14987</v>
      </c>
      <c r="X6" s="1">
        <v>319</v>
      </c>
      <c r="Y6" s="1">
        <v>3543.8974473265198</v>
      </c>
      <c r="Z6" s="1">
        <v>7159.5812806251797</v>
      </c>
      <c r="AA6" s="1">
        <v>72294.558726668998</v>
      </c>
      <c r="AB6" s="1">
        <v>60162.462391954497</v>
      </c>
      <c r="AD6" s="1">
        <v>15194.0197374708</v>
      </c>
      <c r="AE6" s="1">
        <v>5990.3159230531901</v>
      </c>
      <c r="AF6" s="1">
        <v>4700.5909240997798</v>
      </c>
      <c r="AG6" s="1">
        <v>0.90571127596604595</v>
      </c>
      <c r="AH6" s="1">
        <v>1.3583329806295099</v>
      </c>
      <c r="AI6" s="1">
        <v>0.38182100452032902</v>
      </c>
      <c r="AJ6" s="1">
        <v>2.1285113765263199</v>
      </c>
      <c r="AK6" s="1">
        <v>2.2322795151051298</v>
      </c>
      <c r="AL6" s="1">
        <v>1.1657450162980401</v>
      </c>
      <c r="AM6" s="1">
        <v>28.802802120548801</v>
      </c>
      <c r="AN6" s="2">
        <v>0.73438317581131596</v>
      </c>
      <c r="AO6">
        <v>0.71615790192499795</v>
      </c>
      <c r="AP6" s="3">
        <f>AVERAGE(AN6:AO6)</f>
        <v>0.72527053886815696</v>
      </c>
      <c r="AQ6" s="3">
        <f>RANK(AP6,$AP$2:$AP$51,1)</f>
        <v>5</v>
      </c>
      <c r="AS6" s="1">
        <v>5</v>
      </c>
      <c r="AT6" s="1">
        <v>13</v>
      </c>
      <c r="AU6" s="1">
        <v>37</v>
      </c>
      <c r="AV6" s="1">
        <v>18</v>
      </c>
      <c r="AW6" s="1">
        <v>5</v>
      </c>
      <c r="AX6" s="1">
        <v>8</v>
      </c>
      <c r="AY6" s="1">
        <v>6</v>
      </c>
      <c r="AZ6" s="1">
        <v>46</v>
      </c>
      <c r="BA6" s="1">
        <v>40</v>
      </c>
      <c r="BB6" s="1">
        <v>40</v>
      </c>
      <c r="BC6" s="1">
        <v>5</v>
      </c>
      <c r="BD6">
        <v>7</v>
      </c>
      <c r="BE6">
        <v>5</v>
      </c>
      <c r="BF6">
        <v>17</v>
      </c>
    </row>
    <row r="7" spans="1:58" x14ac:dyDescent="0.2">
      <c r="A7" s="1">
        <v>46</v>
      </c>
      <c r="B7" s="1" t="s">
        <v>94</v>
      </c>
      <c r="C7" s="1">
        <v>59247.387999999999</v>
      </c>
      <c r="D7" s="1">
        <v>128988.6</v>
      </c>
      <c r="E7" s="1">
        <v>2.17711876175875</v>
      </c>
      <c r="F7" s="1">
        <v>1502955.7956778</v>
      </c>
      <c r="G7" s="1">
        <v>1738204.32220039</v>
      </c>
      <c r="H7" s="1">
        <v>469993.123772102</v>
      </c>
      <c r="I7" s="1">
        <v>4418267.1905697398</v>
      </c>
      <c r="J7" s="1">
        <v>2.0680000000000001</v>
      </c>
      <c r="K7" s="1">
        <v>598.20000000000005</v>
      </c>
      <c r="L7" s="1">
        <v>4.66</v>
      </c>
      <c r="M7" s="1">
        <v>1635.3520000000001</v>
      </c>
      <c r="N7" s="1">
        <v>13.358000000000001</v>
      </c>
      <c r="O7" s="1">
        <v>520.75699999999995</v>
      </c>
      <c r="P7" s="1">
        <v>82.509</v>
      </c>
      <c r="Q7" s="1">
        <v>1353.1320000000001</v>
      </c>
      <c r="R7" s="1">
        <v>490</v>
      </c>
      <c r="S7" s="1">
        <v>359</v>
      </c>
      <c r="T7" s="1">
        <v>26438.343489999999</v>
      </c>
      <c r="U7" s="1">
        <v>49671.925739999999</v>
      </c>
      <c r="V7" s="1">
        <v>76110.269230000005</v>
      </c>
      <c r="W7" s="1">
        <v>13997</v>
      </c>
      <c r="X7" s="1">
        <v>530</v>
      </c>
      <c r="Y7" s="1">
        <v>1862.6924871260101</v>
      </c>
      <c r="Z7" s="1">
        <v>3544.2607797305</v>
      </c>
      <c r="AA7" s="1">
        <v>21124.681533484301</v>
      </c>
      <c r="AB7" s="1">
        <v>29427.165145980802</v>
      </c>
      <c r="AD7" s="1">
        <v>19747.082895423398</v>
      </c>
      <c r="AE7" s="1">
        <v>22837.973637271702</v>
      </c>
      <c r="AF7" s="1">
        <v>6175.1604419085097</v>
      </c>
      <c r="AG7" s="1">
        <v>0.34570377800066898</v>
      </c>
      <c r="AH7" s="1">
        <v>2.56511194280634</v>
      </c>
      <c r="AI7" s="1">
        <v>0.28495394263742602</v>
      </c>
      <c r="AJ7" s="1">
        <v>3.7865256840751602</v>
      </c>
      <c r="AK7" s="1">
        <v>1.8533687641411301</v>
      </c>
      <c r="AL7" s="1">
        <v>0.72274226265985697</v>
      </c>
      <c r="AM7" s="1">
        <v>19.643704041916401</v>
      </c>
      <c r="AN7" s="2">
        <v>0.89748337441272497</v>
      </c>
      <c r="AO7">
        <v>0.60215420229352601</v>
      </c>
      <c r="AP7" s="3">
        <f>AVERAGE(AN7:AO7)</f>
        <v>0.74981878835312554</v>
      </c>
      <c r="AQ7" s="3">
        <f>RANK(AP7,$AP$2:$AP$51,1)</f>
        <v>6</v>
      </c>
      <c r="AS7" s="1">
        <v>10</v>
      </c>
      <c r="AT7" s="1">
        <v>47</v>
      </c>
      <c r="AU7" s="1">
        <v>40</v>
      </c>
      <c r="AV7" s="1">
        <v>5</v>
      </c>
      <c r="AW7" s="1">
        <v>19</v>
      </c>
      <c r="AX7" s="1">
        <v>3</v>
      </c>
      <c r="AY7" s="1">
        <v>10</v>
      </c>
      <c r="AZ7" s="1">
        <v>31</v>
      </c>
      <c r="BA7" s="1">
        <v>7</v>
      </c>
      <c r="BB7" s="1">
        <v>23</v>
      </c>
      <c r="BC7" s="1">
        <v>24</v>
      </c>
      <c r="BD7">
        <v>1</v>
      </c>
      <c r="BE7">
        <v>6</v>
      </c>
      <c r="BF7">
        <v>2</v>
      </c>
    </row>
    <row r="8" spans="1:58" x14ac:dyDescent="0.2">
      <c r="A8" s="1">
        <v>40</v>
      </c>
      <c r="B8" s="1" t="s">
        <v>88</v>
      </c>
      <c r="C8" s="1">
        <v>41266.815000000002</v>
      </c>
      <c r="D8" s="1">
        <v>90552.099000000002</v>
      </c>
      <c r="E8" s="1">
        <v>2.1943079202986699</v>
      </c>
      <c r="F8" s="1">
        <v>2033170.94017094</v>
      </c>
      <c r="G8" s="1">
        <v>411519.23076923098</v>
      </c>
      <c r="H8" s="1">
        <v>135292.735042735</v>
      </c>
      <c r="I8" s="1">
        <v>2657887.82051282</v>
      </c>
      <c r="J8" s="1">
        <v>5.1820000000000004</v>
      </c>
      <c r="K8" s="1">
        <v>546.29100000000005</v>
      </c>
      <c r="L8" s="1">
        <v>15.401999999999999</v>
      </c>
      <c r="M8" s="1">
        <v>1545.711</v>
      </c>
      <c r="N8" s="1">
        <v>3.4529999999999998</v>
      </c>
      <c r="O8" s="1">
        <v>304.29899999999998</v>
      </c>
      <c r="P8" s="1">
        <v>43.045999999999999</v>
      </c>
      <c r="Q8" s="1">
        <v>1024.1089999999999</v>
      </c>
      <c r="R8" s="1">
        <v>782</v>
      </c>
      <c r="S8" s="1">
        <v>282</v>
      </c>
      <c r="T8" s="1">
        <v>24390.806769999999</v>
      </c>
      <c r="U8" s="1">
        <v>29581.24525</v>
      </c>
      <c r="V8" s="1">
        <v>53972.052009999999</v>
      </c>
      <c r="W8" s="1">
        <v>9395</v>
      </c>
      <c r="X8" s="1">
        <v>499</v>
      </c>
      <c r="Y8" s="1">
        <v>1583.7758614992099</v>
      </c>
      <c r="Z8" s="1">
        <v>2970.50835115071</v>
      </c>
      <c r="AA8" s="1">
        <v>11138.274998982301</v>
      </c>
      <c r="AB8" s="1">
        <v>33552.662937649802</v>
      </c>
      <c r="AD8" s="1">
        <v>37670.810437117201</v>
      </c>
      <c r="AE8" s="1">
        <v>7624.6726860224599</v>
      </c>
      <c r="AF8" s="1">
        <v>2506.7183848720101</v>
      </c>
      <c r="AG8" s="1">
        <v>0.948578687915415</v>
      </c>
      <c r="AH8" s="1">
        <v>1.1347391874439301</v>
      </c>
      <c r="AI8" s="1">
        <v>0.996434650461826</v>
      </c>
      <c r="AJ8" s="1">
        <v>5.3113358169238998</v>
      </c>
      <c r="AK8" s="1">
        <v>3.2061260104025702</v>
      </c>
      <c r="AL8" s="1">
        <v>0.95330672396220395</v>
      </c>
      <c r="AM8" s="1">
        <v>18.3279939990936</v>
      </c>
      <c r="AN8" s="2">
        <v>0.86430238214398303</v>
      </c>
      <c r="AO8">
        <v>0.65972845838092298</v>
      </c>
      <c r="AP8" s="3">
        <f>AVERAGE(AN8:AO8)</f>
        <v>0.76201542026245295</v>
      </c>
      <c r="AQ8" s="3">
        <f>RANK(AP8,$AP$2:$AP$51,1)</f>
        <v>7</v>
      </c>
      <c r="AS8" s="1">
        <v>38</v>
      </c>
      <c r="AT8" s="1">
        <v>21</v>
      </c>
      <c r="AU8" s="1">
        <v>21</v>
      </c>
      <c r="AV8" s="1">
        <v>19</v>
      </c>
      <c r="AW8" s="1">
        <v>3</v>
      </c>
      <c r="AX8" s="1">
        <v>24</v>
      </c>
      <c r="AY8" s="1">
        <v>23</v>
      </c>
      <c r="AZ8" s="1">
        <v>50</v>
      </c>
      <c r="BA8" s="1">
        <v>23</v>
      </c>
      <c r="BB8" s="1">
        <v>17</v>
      </c>
      <c r="BC8" s="1">
        <v>22</v>
      </c>
      <c r="BD8">
        <v>4</v>
      </c>
      <c r="BE8">
        <v>7</v>
      </c>
      <c r="BF8">
        <v>10</v>
      </c>
    </row>
    <row r="9" spans="1:58" x14ac:dyDescent="0.2">
      <c r="A9" s="1">
        <v>17</v>
      </c>
      <c r="B9" s="1" t="s">
        <v>65</v>
      </c>
      <c r="C9" s="1">
        <v>27689.691999999999</v>
      </c>
      <c r="D9" s="1">
        <v>62345.847000000002</v>
      </c>
      <c r="E9" s="1">
        <v>2.2515904835633398</v>
      </c>
      <c r="F9" s="1">
        <v>1389002.14822771</v>
      </c>
      <c r="G9" s="1">
        <v>523022.556390977</v>
      </c>
      <c r="H9" s="1">
        <v>36954.8872180451</v>
      </c>
      <c r="I9" s="1">
        <v>2420065.5209452198</v>
      </c>
      <c r="J9" s="1">
        <v>5.6779999999999999</v>
      </c>
      <c r="K9" s="1">
        <v>710.29700000000003</v>
      </c>
      <c r="L9" s="1">
        <v>6.4160000000000004</v>
      </c>
      <c r="M9" s="1">
        <v>1229.06</v>
      </c>
      <c r="N9" s="1">
        <v>5.3330000000000002</v>
      </c>
      <c r="O9" s="1">
        <v>230.024</v>
      </c>
      <c r="P9" s="1">
        <v>22.184000000000001</v>
      </c>
      <c r="Q9" s="1">
        <v>622.471</v>
      </c>
      <c r="R9" s="1">
        <v>500</v>
      </c>
      <c r="S9" s="1">
        <v>277</v>
      </c>
      <c r="T9" s="1">
        <v>25231.898120000002</v>
      </c>
      <c r="U9" s="1">
        <v>21303.908329999998</v>
      </c>
      <c r="V9" s="1">
        <v>46535.80644</v>
      </c>
      <c r="W9" s="1">
        <v>14410</v>
      </c>
      <c r="X9" s="1">
        <v>990</v>
      </c>
      <c r="Y9" s="1">
        <v>1110.0941109579701</v>
      </c>
      <c r="Z9" s="1">
        <v>2078.0606371131898</v>
      </c>
      <c r="AA9" s="1">
        <v>14419.840976702701</v>
      </c>
      <c r="AB9" s="1">
        <v>12197.051582359099</v>
      </c>
      <c r="AD9" s="1">
        <v>29848.030032929499</v>
      </c>
      <c r="AE9" s="1">
        <v>11239.142423916601</v>
      </c>
      <c r="AF9" s="1">
        <v>794.11726249317599</v>
      </c>
      <c r="AG9" s="1">
        <v>0.799383919684301</v>
      </c>
      <c r="AH9" s="1">
        <v>2.3184537265676601</v>
      </c>
      <c r="AI9" s="1">
        <v>0.52202496216620797</v>
      </c>
      <c r="AJ9" s="1">
        <v>6.8702290076335899</v>
      </c>
      <c r="AK9" s="1">
        <v>1.9816186543797001</v>
      </c>
      <c r="AL9" s="1">
        <v>1.30023090462669</v>
      </c>
      <c r="AM9" s="1">
        <v>18.8591860860165</v>
      </c>
      <c r="AN9" s="2">
        <v>0.78928155129815003</v>
      </c>
      <c r="AO9">
        <v>0.74156613894744605</v>
      </c>
      <c r="AP9" s="3">
        <f>AVERAGE(AN9:AO9)</f>
        <v>0.76542384512279804</v>
      </c>
      <c r="AQ9" s="3">
        <f>RANK(AP9,$AP$2:$AP$51,1)</f>
        <v>8</v>
      </c>
      <c r="AS9" s="1">
        <v>30</v>
      </c>
      <c r="AT9" s="1">
        <v>35</v>
      </c>
      <c r="AU9" s="1">
        <v>1</v>
      </c>
      <c r="AV9" s="1">
        <v>16</v>
      </c>
      <c r="AW9" s="1">
        <v>16</v>
      </c>
      <c r="AX9" s="1">
        <v>14</v>
      </c>
      <c r="AY9" s="1">
        <v>26</v>
      </c>
      <c r="AZ9" s="1">
        <v>36</v>
      </c>
      <c r="BA9" s="1">
        <v>45</v>
      </c>
      <c r="BB9" s="1">
        <v>19</v>
      </c>
      <c r="BC9" s="1">
        <v>13</v>
      </c>
      <c r="BD9">
        <v>9</v>
      </c>
      <c r="BE9">
        <v>8</v>
      </c>
      <c r="BF9">
        <v>4</v>
      </c>
    </row>
    <row r="10" spans="1:58" x14ac:dyDescent="0.2">
      <c r="A10" s="1">
        <v>25</v>
      </c>
      <c r="B10" s="1" t="s">
        <v>73</v>
      </c>
      <c r="C10" s="1">
        <v>33830.167999999998</v>
      </c>
      <c r="D10" s="1">
        <v>77693.084000000003</v>
      </c>
      <c r="E10" s="1">
        <v>2.2965621690084399</v>
      </c>
      <c r="F10" s="1">
        <v>896651.44766147004</v>
      </c>
      <c r="G10" s="1">
        <v>571528.95322939905</v>
      </c>
      <c r="H10" s="1">
        <v>203263.91982182601</v>
      </c>
      <c r="I10" s="1">
        <v>2402831.8485523402</v>
      </c>
      <c r="J10" s="1">
        <v>4.6260000000000003</v>
      </c>
      <c r="K10" s="1">
        <v>841.53499999999997</v>
      </c>
      <c r="L10" s="1">
        <v>8.8330000000000002</v>
      </c>
      <c r="M10" s="1">
        <v>1890.4059999999999</v>
      </c>
      <c r="N10" s="1">
        <v>16.286000000000001</v>
      </c>
      <c r="O10" s="1">
        <v>538.11</v>
      </c>
      <c r="P10" s="1">
        <v>70.638000000000005</v>
      </c>
      <c r="Q10" s="1">
        <v>871.49199999999996</v>
      </c>
      <c r="R10" s="1">
        <v>493</v>
      </c>
      <c r="S10" s="1">
        <v>494</v>
      </c>
      <c r="T10" s="1">
        <v>32529.53124</v>
      </c>
      <c r="U10" s="1">
        <v>40267.505749999997</v>
      </c>
      <c r="V10" s="1">
        <v>72797.036989999993</v>
      </c>
      <c r="W10" s="1">
        <v>24590</v>
      </c>
      <c r="X10" s="1">
        <v>2218</v>
      </c>
      <c r="Y10" s="1">
        <v>1842.63479772357</v>
      </c>
      <c r="Z10" s="1">
        <v>3519.5040025287599</v>
      </c>
      <c r="AA10" s="1">
        <v>29750.965803730101</v>
      </c>
      <c r="AB10" s="1">
        <v>41900.502546798998</v>
      </c>
      <c r="AD10" s="1">
        <v>12317.142080722901</v>
      </c>
      <c r="AE10" s="1">
        <v>7850.9919752353198</v>
      </c>
      <c r="AF10" s="1">
        <v>2792.20045521562</v>
      </c>
      <c r="AG10" s="1">
        <v>0.54970975657578103</v>
      </c>
      <c r="AH10" s="1">
        <v>3.02651874152125</v>
      </c>
      <c r="AI10" s="1">
        <v>0.46725412424632601</v>
      </c>
      <c r="AJ10" s="1">
        <v>9.0199267995119996</v>
      </c>
      <c r="AK10" s="1">
        <v>1.5155459707140899</v>
      </c>
      <c r="AL10" s="1">
        <v>1.2267956278866401</v>
      </c>
      <c r="AM10" s="1">
        <v>28.0511123781422</v>
      </c>
      <c r="AN10" s="2">
        <v>0.77521967645638901</v>
      </c>
      <c r="AO10">
        <v>0.77538900305863601</v>
      </c>
      <c r="AP10" s="3">
        <f>AVERAGE(AN10:AO10)</f>
        <v>0.77530433975751256</v>
      </c>
      <c r="AQ10" s="3">
        <f>RANK(AP10,$AP$2:$AP$51,1)</f>
        <v>9</v>
      </c>
      <c r="AS10" s="1">
        <v>3</v>
      </c>
      <c r="AT10" s="1">
        <v>22</v>
      </c>
      <c r="AU10" s="1">
        <v>23</v>
      </c>
      <c r="AV10" s="1">
        <v>9</v>
      </c>
      <c r="AW10" s="1">
        <v>24</v>
      </c>
      <c r="AX10" s="1">
        <v>12</v>
      </c>
      <c r="AY10" s="1">
        <v>39</v>
      </c>
      <c r="AZ10" s="1">
        <v>18</v>
      </c>
      <c r="BA10" s="1">
        <v>42</v>
      </c>
      <c r="BB10" s="1">
        <v>38</v>
      </c>
      <c r="BC10" s="1">
        <v>11</v>
      </c>
      <c r="BD10">
        <v>10</v>
      </c>
      <c r="BE10">
        <v>9</v>
      </c>
      <c r="BF10">
        <v>5</v>
      </c>
    </row>
    <row r="11" spans="1:58" x14ac:dyDescent="0.2">
      <c r="A11" s="1">
        <v>33</v>
      </c>
      <c r="B11" s="1" t="s">
        <v>81</v>
      </c>
      <c r="C11" s="1">
        <v>80211.664999999994</v>
      </c>
      <c r="D11" s="1">
        <v>173653.32199999999</v>
      </c>
      <c r="E11" s="1">
        <v>2.1649385036453199</v>
      </c>
      <c r="F11" s="1">
        <v>5061988.5057471301</v>
      </c>
      <c r="G11" s="1">
        <v>1330019.8537095101</v>
      </c>
      <c r="H11" s="1">
        <v>391614.42006269598</v>
      </c>
      <c r="I11" s="1">
        <v>7462503.6572622797</v>
      </c>
      <c r="J11" s="1">
        <v>4.2050000000000001</v>
      </c>
      <c r="K11" s="1">
        <v>544.04300000000001</v>
      </c>
      <c r="L11" s="1">
        <v>6.4790000000000001</v>
      </c>
      <c r="M11" s="1">
        <v>1595.9169999999999</v>
      </c>
      <c r="N11" s="1">
        <v>17.701000000000001</v>
      </c>
      <c r="O11" s="1">
        <v>780.31100000000004</v>
      </c>
      <c r="P11" s="1">
        <v>82.27</v>
      </c>
      <c r="Q11" s="1">
        <v>1977.2909999999999</v>
      </c>
      <c r="R11" s="1">
        <v>818</v>
      </c>
      <c r="S11" s="1">
        <v>713</v>
      </c>
      <c r="T11" s="1">
        <v>36857.033900000002</v>
      </c>
      <c r="U11" s="1">
        <v>69485.331470000005</v>
      </c>
      <c r="V11" s="1">
        <v>106342.36536</v>
      </c>
      <c r="W11" s="1">
        <v>18877</v>
      </c>
      <c r="X11" s="1">
        <v>1325</v>
      </c>
      <c r="Y11" s="1">
        <v>3152.54500297611</v>
      </c>
      <c r="Z11" s="1">
        <v>5938.1415758288704</v>
      </c>
      <c r="AA11" s="1">
        <v>24142.157925801101</v>
      </c>
      <c r="AB11" s="1">
        <v>50815.930363908003</v>
      </c>
      <c r="AD11" s="1">
        <v>47600.864327315001</v>
      </c>
      <c r="AE11" s="1">
        <v>12506.9613526745</v>
      </c>
      <c r="AF11" s="1">
        <v>3682.5814315580301</v>
      </c>
      <c r="AG11" s="1">
        <v>0.77291684664631299</v>
      </c>
      <c r="AH11" s="1">
        <v>2.2684545008336401</v>
      </c>
      <c r="AI11" s="1">
        <v>0.40597349360900398</v>
      </c>
      <c r="AJ11" s="1">
        <v>7.0191238014515003</v>
      </c>
      <c r="AK11" s="1">
        <v>2.2193864059147699</v>
      </c>
      <c r="AL11" s="1">
        <v>1.0261158505199499</v>
      </c>
      <c r="AM11" s="1">
        <v>16.215537739987301</v>
      </c>
      <c r="AN11" s="2">
        <v>0.92178734443844601</v>
      </c>
      <c r="AO11">
        <v>0.64662609132939597</v>
      </c>
      <c r="AP11" s="3">
        <f>AVERAGE(AN11:AO11)</f>
        <v>0.78420671788392093</v>
      </c>
      <c r="AQ11" s="3">
        <f>RANK(AP11,$AP$2:$AP$51,1)</f>
        <v>10</v>
      </c>
      <c r="AS11" s="1">
        <v>47</v>
      </c>
      <c r="AT11" s="1">
        <v>38</v>
      </c>
      <c r="AU11" s="1">
        <v>31</v>
      </c>
      <c r="AV11" s="1">
        <v>15</v>
      </c>
      <c r="AW11" s="1">
        <v>15</v>
      </c>
      <c r="AX11" s="1">
        <v>10</v>
      </c>
      <c r="AY11" s="1">
        <v>30</v>
      </c>
      <c r="AZ11" s="1">
        <v>45</v>
      </c>
      <c r="BA11" s="1">
        <v>25</v>
      </c>
      <c r="BB11" s="1">
        <v>11</v>
      </c>
      <c r="BC11" s="1">
        <v>26</v>
      </c>
      <c r="BD11">
        <v>3</v>
      </c>
      <c r="BE11">
        <v>10</v>
      </c>
      <c r="BF11">
        <v>3</v>
      </c>
    </row>
    <row r="12" spans="1:58" x14ac:dyDescent="0.2">
      <c r="A12" s="1">
        <v>21</v>
      </c>
      <c r="B12" s="1" t="s">
        <v>69</v>
      </c>
      <c r="C12" s="1">
        <v>2996.5450000000001</v>
      </c>
      <c r="D12" s="1">
        <v>9556.3140000000003</v>
      </c>
      <c r="E12" s="1">
        <v>3.1891107925961402</v>
      </c>
      <c r="F12" s="1">
        <v>650038.51851851796</v>
      </c>
      <c r="G12" s="1">
        <v>231856.296296296</v>
      </c>
      <c r="H12" s="1">
        <v>124079.25925925899</v>
      </c>
      <c r="I12" s="1">
        <v>2451865.1851851898</v>
      </c>
      <c r="J12" s="1">
        <v>0.64800000000000002</v>
      </c>
      <c r="K12" s="1">
        <v>62.607999999999997</v>
      </c>
      <c r="L12" s="1">
        <v>1.2</v>
      </c>
      <c r="M12" s="1">
        <v>104.577</v>
      </c>
      <c r="N12" s="1">
        <v>15.028</v>
      </c>
      <c r="O12" s="1">
        <v>501.822</v>
      </c>
      <c r="P12" s="1">
        <v>465.15699999999998</v>
      </c>
      <c r="Q12" s="1">
        <v>1940.45</v>
      </c>
      <c r="R12" s="1">
        <v>28</v>
      </c>
      <c r="S12" s="1">
        <v>315</v>
      </c>
      <c r="T12" s="1">
        <v>2693.0454399999999</v>
      </c>
      <c r="U12" s="1">
        <v>51433.780140000003</v>
      </c>
      <c r="V12" s="1">
        <v>54126.825579999997</v>
      </c>
      <c r="W12" s="1">
        <v>5245</v>
      </c>
      <c r="X12" s="1">
        <v>456</v>
      </c>
      <c r="Y12" s="1">
        <v>2658.4102710495599</v>
      </c>
      <c r="Z12" s="1">
        <v>6253.9649510037198</v>
      </c>
      <c r="AA12" s="1">
        <v>76452.764498314806</v>
      </c>
      <c r="AB12" s="1">
        <v>73360.236087954298</v>
      </c>
      <c r="AD12" s="1">
        <v>12009.5444643757</v>
      </c>
      <c r="AE12" s="1">
        <v>4283.5746196423497</v>
      </c>
      <c r="AF12" s="1">
        <v>2292.3801262992802</v>
      </c>
      <c r="AG12" s="1">
        <v>1.03501150012778</v>
      </c>
      <c r="AH12" s="1">
        <v>2.99468735926285</v>
      </c>
      <c r="AI12" s="1">
        <v>1.1474798473851799</v>
      </c>
      <c r="AJ12" s="1">
        <v>8.6939942802669208</v>
      </c>
      <c r="AK12" s="1">
        <v>1.0397150966750901</v>
      </c>
      <c r="AL12" s="1">
        <v>0.61243797197597905</v>
      </c>
      <c r="AM12" s="1">
        <v>40.489024515339999</v>
      </c>
      <c r="AN12" s="2">
        <v>0.76088656687906497</v>
      </c>
      <c r="AO12">
        <v>0.84425253151073698</v>
      </c>
      <c r="AP12" s="3">
        <f>AVERAGE(AN12:AO12)</f>
        <v>0.80256954919490098</v>
      </c>
      <c r="AQ12" s="3">
        <f>RANK(AP12,$AP$2:$AP$51,1)</f>
        <v>11</v>
      </c>
      <c r="AS12" s="1">
        <v>2</v>
      </c>
      <c r="AT12" s="1">
        <v>7</v>
      </c>
      <c r="AU12" s="1">
        <v>19</v>
      </c>
      <c r="AV12" s="1">
        <v>20</v>
      </c>
      <c r="AW12" s="1">
        <v>23</v>
      </c>
      <c r="AX12" s="1">
        <v>29</v>
      </c>
      <c r="AY12" s="1">
        <v>37</v>
      </c>
      <c r="AZ12" s="1">
        <v>3</v>
      </c>
      <c r="BA12" s="1">
        <v>3</v>
      </c>
      <c r="BB12" s="1">
        <v>48</v>
      </c>
      <c r="BC12" s="1">
        <v>9</v>
      </c>
      <c r="BD12">
        <v>14</v>
      </c>
      <c r="BE12">
        <v>11</v>
      </c>
      <c r="BF12">
        <v>43</v>
      </c>
    </row>
    <row r="13" spans="1:58" x14ac:dyDescent="0.2">
      <c r="A13" s="1">
        <v>16</v>
      </c>
      <c r="B13" s="1" t="s">
        <v>64</v>
      </c>
      <c r="C13" s="1">
        <v>10296.549000000001</v>
      </c>
      <c r="D13" s="1">
        <v>24037.405999999999</v>
      </c>
      <c r="E13" s="1">
        <v>2.3345109123454901</v>
      </c>
      <c r="F13" s="1">
        <v>515335.260115607</v>
      </c>
      <c r="G13" s="1">
        <v>221789.595375723</v>
      </c>
      <c r="H13" s="1">
        <v>93381.502890173404</v>
      </c>
      <c r="I13" s="1">
        <v>1395295.95375723</v>
      </c>
      <c r="J13" s="1">
        <v>4.7300000000000004</v>
      </c>
      <c r="K13" s="1">
        <v>639.50099999999998</v>
      </c>
      <c r="L13" s="1">
        <v>8.5399999999999991</v>
      </c>
      <c r="M13" s="1">
        <v>2628.83</v>
      </c>
      <c r="N13" s="1">
        <v>7.23</v>
      </c>
      <c r="O13" s="1">
        <v>234.60599999999999</v>
      </c>
      <c r="P13" s="1">
        <v>21.655999999999999</v>
      </c>
      <c r="Q13" s="1">
        <v>312.22199999999998</v>
      </c>
      <c r="R13" s="1">
        <v>262</v>
      </c>
      <c r="S13" s="1">
        <v>164</v>
      </c>
      <c r="T13" s="1">
        <v>13697.361510000001</v>
      </c>
      <c r="U13" s="1">
        <v>14156.44037</v>
      </c>
      <c r="V13" s="1">
        <v>27853.801889999999</v>
      </c>
      <c r="W13" s="1">
        <v>24925</v>
      </c>
      <c r="X13" s="1">
        <v>1277</v>
      </c>
      <c r="Y13" s="1">
        <v>761.70763711504196</v>
      </c>
      <c r="Z13" s="1">
        <v>1407.7016013228599</v>
      </c>
      <c r="AA13" s="1">
        <v>13867.845374623899</v>
      </c>
      <c r="AB13" s="1">
        <v>9146.4632380770508</v>
      </c>
      <c r="AD13" s="1">
        <v>18501.433382443302</v>
      </c>
      <c r="AE13" s="1">
        <v>7962.6327584152496</v>
      </c>
      <c r="AF13" s="1">
        <v>3352.5585935792501</v>
      </c>
      <c r="AG13" s="1">
        <v>0.73963918742894896</v>
      </c>
      <c r="AH13" s="1">
        <v>3.0817626147668902</v>
      </c>
      <c r="AI13" s="1">
        <v>0.324859348074999</v>
      </c>
      <c r="AJ13" s="1">
        <v>5.1233701103309901</v>
      </c>
      <c r="AK13" s="1">
        <v>1.9127771418511701</v>
      </c>
      <c r="AL13" s="1">
        <v>1.1584833172295601</v>
      </c>
      <c r="AM13" s="1">
        <v>24.703702141419299</v>
      </c>
      <c r="AN13" s="2">
        <v>0.76132777955805198</v>
      </c>
      <c r="AO13">
        <v>0.858634505519419</v>
      </c>
      <c r="AP13" s="3">
        <f>AVERAGE(AN13:AO13)</f>
        <v>0.80998114253873554</v>
      </c>
      <c r="AQ13" s="3">
        <f>RANK(AP13,$AP$2:$AP$51,1)</f>
        <v>12</v>
      </c>
      <c r="AS13" s="1">
        <v>8</v>
      </c>
      <c r="AT13" s="1">
        <v>23</v>
      </c>
      <c r="AU13" s="1">
        <v>27</v>
      </c>
      <c r="AV13" s="1">
        <v>14</v>
      </c>
      <c r="AW13" s="1">
        <v>25</v>
      </c>
      <c r="AX13" s="1">
        <v>5</v>
      </c>
      <c r="AY13" s="1">
        <v>17</v>
      </c>
      <c r="AZ13" s="1">
        <v>35</v>
      </c>
      <c r="BA13" s="1">
        <v>39</v>
      </c>
      <c r="BB13" s="1">
        <v>37</v>
      </c>
      <c r="BC13" s="1">
        <v>10</v>
      </c>
      <c r="BD13">
        <v>15</v>
      </c>
      <c r="BE13">
        <v>12</v>
      </c>
      <c r="BF13">
        <v>6</v>
      </c>
    </row>
    <row r="14" spans="1:58" x14ac:dyDescent="0.2">
      <c r="A14" s="1">
        <v>1</v>
      </c>
      <c r="B14" s="1" t="s">
        <v>49</v>
      </c>
      <c r="C14" s="1">
        <v>10941.116</v>
      </c>
      <c r="D14" s="1">
        <v>29706.920999999998</v>
      </c>
      <c r="E14" s="1">
        <v>2.7151636999370101</v>
      </c>
      <c r="F14" s="1">
        <v>1578792.94653015</v>
      </c>
      <c r="G14" s="1">
        <v>233098.976109215</v>
      </c>
      <c r="H14" s="1">
        <v>382868.03185437998</v>
      </c>
      <c r="I14" s="1">
        <v>2493617.7474402701</v>
      </c>
      <c r="J14" s="1">
        <v>8.4809999999999999</v>
      </c>
      <c r="K14" s="1">
        <v>570.56100000000004</v>
      </c>
      <c r="L14" s="1">
        <v>7.1319999999999997</v>
      </c>
      <c r="M14" s="1">
        <v>2046.675</v>
      </c>
      <c r="N14" s="1">
        <v>22.341999999999999</v>
      </c>
      <c r="O14" s="1">
        <v>432.65100000000001</v>
      </c>
      <c r="P14" s="1">
        <v>24.890999999999998</v>
      </c>
      <c r="Q14" s="1">
        <v>1284.213</v>
      </c>
      <c r="R14" s="1">
        <v>518</v>
      </c>
      <c r="S14" s="1">
        <v>415</v>
      </c>
      <c r="T14" s="1">
        <v>27813.551319999999</v>
      </c>
      <c r="U14" s="1">
        <v>40107.945520000001</v>
      </c>
      <c r="V14" s="1">
        <v>67921.496840000007</v>
      </c>
      <c r="W14" s="1">
        <v>16164</v>
      </c>
      <c r="X14" s="1">
        <v>586</v>
      </c>
      <c r="Y14" s="1">
        <v>1399.5700094696001</v>
      </c>
      <c r="Z14" s="1">
        <v>2551.77665190277</v>
      </c>
      <c r="AA14" s="1">
        <v>3208.5206419711999</v>
      </c>
      <c r="AB14" s="1">
        <v>35397.360804395103</v>
      </c>
      <c r="AD14" s="1">
        <v>23244.377994926199</v>
      </c>
      <c r="AE14" s="1">
        <v>3431.8880907221001</v>
      </c>
      <c r="AF14" s="1">
        <v>5636.91982166246</v>
      </c>
      <c r="AG14" s="1">
        <v>1.48643177504246</v>
      </c>
      <c r="AH14" s="1">
        <v>5.1639774321566296</v>
      </c>
      <c r="AI14" s="1">
        <v>0.34846763653242502</v>
      </c>
      <c r="AJ14" s="1">
        <v>3.62534026231131</v>
      </c>
      <c r="AK14" s="1">
        <v>1.8624015108330301</v>
      </c>
      <c r="AL14" s="1">
        <v>1.03470769848597</v>
      </c>
      <c r="AM14" s="1">
        <v>16.164157787216901</v>
      </c>
      <c r="AN14" s="2">
        <v>0.81063759260417001</v>
      </c>
      <c r="AO14">
        <v>0.83832915388204998</v>
      </c>
      <c r="AP14" s="3">
        <f>AVERAGE(AN14:AO14)</f>
        <v>0.82448337324311005</v>
      </c>
      <c r="AQ14" s="3">
        <f>RANK(AP14,$AP$2:$AP$51,1)</f>
        <v>13</v>
      </c>
      <c r="AS14" s="1">
        <v>20</v>
      </c>
      <c r="AT14" s="1">
        <v>3</v>
      </c>
      <c r="AU14" s="1">
        <v>39</v>
      </c>
      <c r="AV14" s="1">
        <v>28</v>
      </c>
      <c r="AW14" s="1">
        <v>36</v>
      </c>
      <c r="AX14" s="1">
        <v>6</v>
      </c>
      <c r="AY14" s="1">
        <v>9</v>
      </c>
      <c r="AZ14" s="1">
        <v>32</v>
      </c>
      <c r="BA14" s="1">
        <v>26</v>
      </c>
      <c r="BB14" s="1">
        <v>10</v>
      </c>
      <c r="BC14" s="1">
        <v>15</v>
      </c>
      <c r="BD14">
        <v>12</v>
      </c>
      <c r="BE14">
        <v>13</v>
      </c>
      <c r="BF14">
        <v>20</v>
      </c>
    </row>
    <row r="15" spans="1:58" x14ac:dyDescent="0.2">
      <c r="A15" s="1">
        <v>43</v>
      </c>
      <c r="B15" s="1" t="s">
        <v>91</v>
      </c>
      <c r="C15" s="1">
        <v>80719.895000000004</v>
      </c>
      <c r="D15" s="1">
        <v>198465.38500000001</v>
      </c>
      <c r="E15" s="1">
        <v>2.45869230875486</v>
      </c>
      <c r="F15" s="1">
        <v>10447881.65038</v>
      </c>
      <c r="G15" s="1">
        <v>2282013.0293159601</v>
      </c>
      <c r="H15" s="1">
        <v>469305.10314875102</v>
      </c>
      <c r="I15" s="1">
        <v>16144479.9131379</v>
      </c>
      <c r="J15" s="1">
        <v>24.745000000000001</v>
      </c>
      <c r="K15" s="1">
        <v>1999.67</v>
      </c>
      <c r="L15" s="1">
        <v>33.761000000000003</v>
      </c>
      <c r="M15" s="1">
        <v>8375.6749999999993</v>
      </c>
      <c r="N15" s="1">
        <v>57.88</v>
      </c>
      <c r="O15" s="1">
        <v>1457.2950000000001</v>
      </c>
      <c r="P15" s="1">
        <v>893.91499999999996</v>
      </c>
      <c r="Q15" s="1">
        <v>6164.8819999999996</v>
      </c>
      <c r="R15" s="1">
        <v>1503</v>
      </c>
      <c r="S15" s="1">
        <v>2362</v>
      </c>
      <c r="T15" s="1">
        <v>71681.786229999998</v>
      </c>
      <c r="U15" s="1">
        <v>188900.16922000001</v>
      </c>
      <c r="V15" s="1">
        <v>260581.95545000001</v>
      </c>
      <c r="W15" s="1">
        <v>55175</v>
      </c>
      <c r="X15" s="1">
        <v>789</v>
      </c>
      <c r="Y15" s="1">
        <v>10721.4530562908</v>
      </c>
      <c r="Z15" s="1">
        <v>21344.6185379731</v>
      </c>
      <c r="AA15" s="1">
        <v>235715.603595872</v>
      </c>
      <c r="AB15" s="1">
        <v>271651.56865015603</v>
      </c>
      <c r="AD15" s="1">
        <v>40094.417252865896</v>
      </c>
      <c r="AE15" s="1">
        <v>8757.3716506008404</v>
      </c>
      <c r="AF15" s="1">
        <v>1800.9884926157199</v>
      </c>
      <c r="AG15" s="1">
        <v>1.2374541799396901</v>
      </c>
      <c r="AH15" s="1">
        <v>3.9717421661365702</v>
      </c>
      <c r="AI15" s="1">
        <v>0.40308393054888098</v>
      </c>
      <c r="AJ15" s="1">
        <v>1.4299954689623899</v>
      </c>
      <c r="AK15" s="1">
        <v>2.0967669460376399</v>
      </c>
      <c r="AL15" s="1">
        <v>1.2503959153414701</v>
      </c>
      <c r="AM15" s="1">
        <v>34.712350624886497</v>
      </c>
      <c r="AN15" s="2">
        <v>0.85785665001132105</v>
      </c>
      <c r="AO15">
        <v>0.79309357155242899</v>
      </c>
      <c r="AP15" s="3">
        <f>AVERAGE(AN15:AO15)</f>
        <v>0.82547511078187497</v>
      </c>
      <c r="AQ15" s="3">
        <f>RANK(AP15,$AP$2:$AP$51,1)</f>
        <v>14</v>
      </c>
      <c r="AS15" s="1">
        <v>41</v>
      </c>
      <c r="AT15" s="1">
        <v>27</v>
      </c>
      <c r="AU15" s="1">
        <v>10</v>
      </c>
      <c r="AV15" s="1">
        <v>22</v>
      </c>
      <c r="AW15" s="1">
        <v>30</v>
      </c>
      <c r="AX15" s="1">
        <v>9</v>
      </c>
      <c r="AY15" s="1">
        <v>3</v>
      </c>
      <c r="AZ15" s="1">
        <v>41</v>
      </c>
      <c r="BA15" s="1">
        <v>44</v>
      </c>
      <c r="BB15" s="1">
        <v>47</v>
      </c>
      <c r="BC15" s="1">
        <v>21</v>
      </c>
      <c r="BD15">
        <v>11</v>
      </c>
      <c r="BE15">
        <v>14</v>
      </c>
      <c r="BF15">
        <v>19</v>
      </c>
    </row>
    <row r="16" spans="1:58" x14ac:dyDescent="0.2">
      <c r="A16" s="1">
        <v>23</v>
      </c>
      <c r="B16" s="1" t="s">
        <v>71</v>
      </c>
      <c r="C16" s="1">
        <v>11694.496999999999</v>
      </c>
      <c r="D16" s="1">
        <v>29175.577000000001</v>
      </c>
      <c r="E16" s="1">
        <v>2.49481247461947</v>
      </c>
      <c r="F16" s="1">
        <v>1197615</v>
      </c>
      <c r="G16" s="1">
        <v>558585</v>
      </c>
      <c r="H16" s="1">
        <v>181153</v>
      </c>
      <c r="I16" s="1">
        <v>2354155</v>
      </c>
      <c r="J16" s="1">
        <v>5.2539999999999996</v>
      </c>
      <c r="K16" s="1">
        <v>588.08100000000002</v>
      </c>
      <c r="L16" s="1">
        <v>19.283999999999999</v>
      </c>
      <c r="M16" s="1">
        <v>3453.3159999999998</v>
      </c>
      <c r="N16" s="1">
        <v>10.404999999999999</v>
      </c>
      <c r="O16" s="1">
        <v>325.41800000000001</v>
      </c>
      <c r="P16" s="1">
        <v>11.356</v>
      </c>
      <c r="Q16" s="1">
        <v>612.24599999999998</v>
      </c>
      <c r="R16" s="1">
        <v>240</v>
      </c>
      <c r="S16" s="1">
        <v>152</v>
      </c>
      <c r="T16" s="1">
        <v>22166.574089999998</v>
      </c>
      <c r="U16" s="1">
        <v>29452.867050000001</v>
      </c>
      <c r="V16" s="1">
        <v>51619.441140000003</v>
      </c>
      <c r="W16" s="1">
        <v>13496</v>
      </c>
      <c r="X16" s="1">
        <v>618</v>
      </c>
      <c r="Y16" s="1">
        <v>1671.50036888251</v>
      </c>
      <c r="Z16" s="1">
        <v>3327.3307743846299</v>
      </c>
      <c r="AA16" s="1">
        <v>31165.045400494899</v>
      </c>
      <c r="AB16" s="1">
        <v>32888.629761472897</v>
      </c>
      <c r="AD16" s="1">
        <v>23200.851724680299</v>
      </c>
      <c r="AE16" s="1">
        <v>10821.213629280301</v>
      </c>
      <c r="AF16" s="1">
        <v>3509.39483263069</v>
      </c>
      <c r="AG16" s="1">
        <v>0.89341434258205898</v>
      </c>
      <c r="AH16" s="1">
        <v>3.1974260796882801</v>
      </c>
      <c r="AI16" s="1">
        <v>0.55841979129624997</v>
      </c>
      <c r="AJ16" s="1">
        <v>4.5791345583876701</v>
      </c>
      <c r="AK16" s="1">
        <v>1.08271128874295</v>
      </c>
      <c r="AL16" s="1">
        <v>0.51607879036686199</v>
      </c>
      <c r="AM16" s="1">
        <v>28.529341166324901</v>
      </c>
      <c r="AN16" s="2">
        <v>0.74630439483976696</v>
      </c>
      <c r="AO16">
        <v>0.90514270995286505</v>
      </c>
      <c r="AP16" s="3">
        <f>AVERAGE(AN16:AO16)</f>
        <v>0.82572355239631601</v>
      </c>
      <c r="AQ16" s="3">
        <f>RANK(AP16,$AP$2:$AP$51,1)</f>
        <v>15</v>
      </c>
      <c r="AS16" s="1">
        <v>19</v>
      </c>
      <c r="AT16" s="1">
        <v>33</v>
      </c>
      <c r="AU16" s="1">
        <v>29</v>
      </c>
      <c r="AV16" s="1">
        <v>17</v>
      </c>
      <c r="AW16" s="1">
        <v>27</v>
      </c>
      <c r="AX16" s="1">
        <v>15</v>
      </c>
      <c r="AY16" s="1">
        <v>12</v>
      </c>
      <c r="AZ16" s="1">
        <v>4</v>
      </c>
      <c r="BA16" s="1">
        <v>1</v>
      </c>
      <c r="BB16" s="1">
        <v>39</v>
      </c>
      <c r="BC16" s="1">
        <v>7</v>
      </c>
      <c r="BD16">
        <v>19</v>
      </c>
      <c r="BE16">
        <v>15</v>
      </c>
      <c r="BF16">
        <v>8</v>
      </c>
    </row>
    <row r="17" spans="1:58" x14ac:dyDescent="0.2">
      <c r="A17" s="1">
        <v>28</v>
      </c>
      <c r="B17" s="1" t="s">
        <v>76</v>
      </c>
      <c r="C17" s="1">
        <v>5354.4759999999997</v>
      </c>
      <c r="D17" s="1">
        <v>13508.746999999999</v>
      </c>
      <c r="E17" s="1">
        <v>2.5228887009671901</v>
      </c>
      <c r="F17" s="1">
        <v>649650.04703668901</v>
      </c>
      <c r="G17" s="1">
        <v>147025.39981185301</v>
      </c>
      <c r="H17" s="1">
        <v>173001.881467545</v>
      </c>
      <c r="I17" s="1">
        <v>1144027.2812794</v>
      </c>
      <c r="J17" s="1">
        <v>0.8</v>
      </c>
      <c r="K17" s="1">
        <v>456.673</v>
      </c>
      <c r="L17" s="1">
        <v>1.746</v>
      </c>
      <c r="M17" s="1">
        <v>1519.3969999999999</v>
      </c>
      <c r="N17" s="1">
        <v>4</v>
      </c>
      <c r="O17" s="1">
        <v>161.59800000000001</v>
      </c>
      <c r="P17" s="1">
        <v>19.047000000000001</v>
      </c>
      <c r="Q17" s="1">
        <v>378.161</v>
      </c>
      <c r="R17" s="1">
        <v>93</v>
      </c>
      <c r="S17" s="1">
        <v>224</v>
      </c>
      <c r="T17" s="1">
        <v>5332.9290499999997</v>
      </c>
      <c r="U17" s="1">
        <v>19898.417310000001</v>
      </c>
      <c r="V17" s="1">
        <v>25231.34636</v>
      </c>
      <c r="W17" s="1">
        <v>2067</v>
      </c>
      <c r="X17" s="1">
        <v>29</v>
      </c>
      <c r="Y17" s="1">
        <v>1338</v>
      </c>
      <c r="Z17" s="1">
        <v>2640</v>
      </c>
      <c r="AA17" s="1">
        <v>16143.8145822432</v>
      </c>
      <c r="AB17" s="1">
        <v>10980.1854177568</v>
      </c>
      <c r="AD17" s="1">
        <v>25747.736080647599</v>
      </c>
      <c r="AE17" s="1">
        <v>5827.09292298951</v>
      </c>
      <c r="AF17" s="1">
        <v>6856.6250488245696</v>
      </c>
      <c r="AG17" s="1">
        <v>0.17518005224745101</v>
      </c>
      <c r="AH17" s="1">
        <v>2.4752781593831599</v>
      </c>
      <c r="AI17" s="1">
        <v>0.11491400864948401</v>
      </c>
      <c r="AJ17" s="1">
        <v>1.4029995162070601</v>
      </c>
      <c r="AK17" s="1">
        <v>1.74388219171976</v>
      </c>
      <c r="AL17" s="1">
        <v>1.12571767146238</v>
      </c>
      <c r="AM17" s="1">
        <v>16.224792370476202</v>
      </c>
      <c r="AN17" s="2">
        <v>0.71272487468636903</v>
      </c>
      <c r="AO17">
        <v>0.94181803573239598</v>
      </c>
      <c r="AP17" s="3">
        <f>AVERAGE(AN17:AO17)</f>
        <v>0.8272714552093825</v>
      </c>
      <c r="AQ17" s="3">
        <f>RANK(AP17,$AP$2:$AP$51,1)</f>
        <v>16</v>
      </c>
      <c r="AS17" s="1">
        <v>25</v>
      </c>
      <c r="AT17" s="1">
        <v>11</v>
      </c>
      <c r="AU17" s="1">
        <v>44</v>
      </c>
      <c r="AV17" s="1">
        <v>2</v>
      </c>
      <c r="AW17" s="1">
        <v>17</v>
      </c>
      <c r="AX17" s="1">
        <v>1</v>
      </c>
      <c r="AY17" s="1">
        <v>2</v>
      </c>
      <c r="AZ17" s="1">
        <v>30</v>
      </c>
      <c r="BA17" s="1">
        <v>34</v>
      </c>
      <c r="BB17" s="1">
        <v>12</v>
      </c>
      <c r="BC17" s="1">
        <v>3</v>
      </c>
      <c r="BD17">
        <v>22</v>
      </c>
      <c r="BE17">
        <v>16</v>
      </c>
      <c r="BF17">
        <v>22</v>
      </c>
    </row>
    <row r="18" spans="1:58" x14ac:dyDescent="0.2">
      <c r="A18" s="1">
        <v>34</v>
      </c>
      <c r="B18" s="1" t="s">
        <v>82</v>
      </c>
      <c r="C18" s="1">
        <v>7411.5479999999998</v>
      </c>
      <c r="D18" s="1">
        <v>17245.396000000001</v>
      </c>
      <c r="E18" s="1">
        <v>2.3268278097908799</v>
      </c>
      <c r="F18" s="1">
        <v>383184.31771894102</v>
      </c>
      <c r="G18" s="1">
        <v>31507.128309572301</v>
      </c>
      <c r="H18" s="1">
        <v>20665.987780040701</v>
      </c>
      <c r="I18" s="1">
        <v>472949.08350305498</v>
      </c>
      <c r="J18" s="1">
        <v>1.9490000000000001</v>
      </c>
      <c r="K18" s="1">
        <v>509.73200000000003</v>
      </c>
      <c r="L18" s="1">
        <v>32.575000000000003</v>
      </c>
      <c r="M18" s="1">
        <v>2944.6289999999999</v>
      </c>
      <c r="N18" s="1">
        <v>0.6</v>
      </c>
      <c r="O18" s="1">
        <v>61.191000000000003</v>
      </c>
      <c r="P18" s="1">
        <v>17.905000000000001</v>
      </c>
      <c r="Q18" s="1">
        <v>206.875</v>
      </c>
      <c r="R18" s="1">
        <v>76</v>
      </c>
      <c r="S18" s="1">
        <v>24</v>
      </c>
      <c r="T18" s="1">
        <v>5886.06268</v>
      </c>
      <c r="U18" s="1">
        <v>2881.5381000000002</v>
      </c>
      <c r="V18" s="1">
        <v>8767.6007800000007</v>
      </c>
      <c r="W18" s="1">
        <v>4285</v>
      </c>
      <c r="X18" s="1">
        <v>481</v>
      </c>
      <c r="Y18" s="1">
        <v>179.574350568184</v>
      </c>
      <c r="Z18" s="1">
        <v>319.66554654465199</v>
      </c>
      <c r="AA18" s="1">
        <v>-193.66771078305501</v>
      </c>
      <c r="AB18" s="1">
        <v>3105.8935547831402</v>
      </c>
      <c r="AD18" s="1">
        <v>43704.580914887498</v>
      </c>
      <c r="AE18" s="1">
        <v>3593.5861018494402</v>
      </c>
      <c r="AF18" s="1">
        <v>2357.0858549105501</v>
      </c>
      <c r="AG18" s="1">
        <v>0.38235778801409398</v>
      </c>
      <c r="AH18" s="1">
        <v>0.98053635338530198</v>
      </c>
      <c r="AI18" s="1">
        <v>1.10625141571315</v>
      </c>
      <c r="AJ18" s="1">
        <v>11.2252042007001</v>
      </c>
      <c r="AK18" s="1">
        <v>1.2911857065035499</v>
      </c>
      <c r="AL18" s="1">
        <v>0.83288851880875703</v>
      </c>
      <c r="AM18" s="1">
        <v>8.6375902436778205</v>
      </c>
      <c r="AN18" s="2">
        <v>0.749317703424494</v>
      </c>
      <c r="AO18">
        <v>0.93985216536934002</v>
      </c>
      <c r="AP18" s="3">
        <f>AVERAGE(AN18:AO18)</f>
        <v>0.84458493439691695</v>
      </c>
      <c r="AQ18" s="3">
        <f>RANK(AP18,$AP$2:$AP$51,1)</f>
        <v>17</v>
      </c>
      <c r="AS18" s="1">
        <v>45</v>
      </c>
      <c r="AT18" s="1">
        <v>5</v>
      </c>
      <c r="AU18" s="1">
        <v>20</v>
      </c>
      <c r="AV18" s="1">
        <v>7</v>
      </c>
      <c r="AW18" s="1">
        <v>2</v>
      </c>
      <c r="AX18" s="1">
        <v>28</v>
      </c>
      <c r="AY18" s="1">
        <v>43</v>
      </c>
      <c r="AZ18" s="1">
        <v>10</v>
      </c>
      <c r="BA18" s="1">
        <v>17</v>
      </c>
      <c r="BB18" s="1">
        <v>4</v>
      </c>
      <c r="BC18" s="1">
        <v>8</v>
      </c>
      <c r="BD18">
        <v>21</v>
      </c>
      <c r="BE18">
        <v>17</v>
      </c>
      <c r="BF18">
        <v>1</v>
      </c>
    </row>
    <row r="19" spans="1:58" x14ac:dyDescent="0.2">
      <c r="A19" s="1">
        <v>24</v>
      </c>
      <c r="B19" s="1" t="s">
        <v>72</v>
      </c>
      <c r="C19" s="1">
        <v>10948.065000000001</v>
      </c>
      <c r="D19" s="1">
        <v>28310.190999999999</v>
      </c>
      <c r="E19" s="1">
        <v>2.5858625245648401</v>
      </c>
      <c r="F19" s="1">
        <v>850697.47899159696</v>
      </c>
      <c r="G19" s="1">
        <v>149208.88355342101</v>
      </c>
      <c r="H19" s="1">
        <v>72558.223289315705</v>
      </c>
      <c r="I19" s="1">
        <v>1237926.7707082799</v>
      </c>
      <c r="J19" s="1">
        <v>8.6370000000000005</v>
      </c>
      <c r="K19" s="1">
        <v>578.43600000000004</v>
      </c>
      <c r="L19" s="1">
        <v>16.196999999999999</v>
      </c>
      <c r="M19" s="1">
        <v>1783.239</v>
      </c>
      <c r="N19" s="1">
        <v>7.9320000000000004</v>
      </c>
      <c r="O19" s="1">
        <v>253.10599999999999</v>
      </c>
      <c r="P19" s="1">
        <v>93.539000000000001</v>
      </c>
      <c r="Q19" s="1">
        <v>952.06100000000004</v>
      </c>
      <c r="R19" s="1">
        <v>515</v>
      </c>
      <c r="S19" s="1">
        <v>237</v>
      </c>
      <c r="T19" s="1">
        <v>23288.757300000001</v>
      </c>
      <c r="U19" s="1">
        <v>16376.330190000001</v>
      </c>
      <c r="V19" s="1">
        <v>39665.087489999998</v>
      </c>
      <c r="W19" s="1">
        <v>16788</v>
      </c>
      <c r="X19" s="1">
        <v>1174</v>
      </c>
      <c r="Y19" s="1">
        <v>510.07627186148102</v>
      </c>
      <c r="Z19" s="1">
        <v>934.08371535480796</v>
      </c>
      <c r="AA19" s="1">
        <v>5461.9840264557997</v>
      </c>
      <c r="AB19" s="1">
        <v>10672.2804731342</v>
      </c>
      <c r="AD19" s="1">
        <v>21447.008763211899</v>
      </c>
      <c r="AE19" s="1">
        <v>3761.7182513725302</v>
      </c>
      <c r="AF19" s="1">
        <v>1829.27173191307</v>
      </c>
      <c r="AG19" s="1">
        <v>1.4931643258718299</v>
      </c>
      <c r="AH19" s="1">
        <v>3.1338648629427999</v>
      </c>
      <c r="AI19" s="1">
        <v>0.90829103670343703</v>
      </c>
      <c r="AJ19" s="1">
        <v>6.9930903025970901</v>
      </c>
      <c r="AK19" s="1">
        <v>2.21136745669122</v>
      </c>
      <c r="AL19" s="1">
        <v>1.44721068304254</v>
      </c>
      <c r="AM19" s="1">
        <v>22.133571584671799</v>
      </c>
      <c r="AN19" s="2">
        <v>0.83066302400317404</v>
      </c>
      <c r="AO19">
        <v>0.86184957333979295</v>
      </c>
      <c r="AP19" s="3">
        <f>AVERAGE(AN19:AO19)</f>
        <v>0.84625629867148344</v>
      </c>
      <c r="AQ19" s="3">
        <f>RANK(AP19,$AP$2:$AP$51,1)</f>
        <v>18</v>
      </c>
      <c r="AS19" s="1">
        <v>16</v>
      </c>
      <c r="AT19" s="1">
        <v>6</v>
      </c>
      <c r="AU19" s="1">
        <v>12</v>
      </c>
      <c r="AV19" s="1">
        <v>29</v>
      </c>
      <c r="AW19" s="1">
        <v>26</v>
      </c>
      <c r="AX19" s="1">
        <v>23</v>
      </c>
      <c r="AY19" s="1">
        <v>29</v>
      </c>
      <c r="AZ19" s="1">
        <v>44</v>
      </c>
      <c r="BA19" s="1">
        <v>48</v>
      </c>
      <c r="BB19" s="1">
        <v>28</v>
      </c>
      <c r="BC19" s="1">
        <v>18</v>
      </c>
      <c r="BD19">
        <v>17</v>
      </c>
      <c r="BE19">
        <v>18</v>
      </c>
      <c r="BF19">
        <v>16</v>
      </c>
    </row>
    <row r="20" spans="1:58" x14ac:dyDescent="0.2">
      <c r="A20" s="1">
        <v>20</v>
      </c>
      <c r="B20" s="1" t="s">
        <v>68</v>
      </c>
      <c r="C20" s="1">
        <v>5207.4520000000002</v>
      </c>
      <c r="D20" s="1">
        <v>14927.941000000001</v>
      </c>
      <c r="E20" s="1">
        <v>2.8666497550049401</v>
      </c>
      <c r="F20" s="1">
        <v>1226004.0322580601</v>
      </c>
      <c r="G20" s="1">
        <v>339438.70967741898</v>
      </c>
      <c r="H20" s="1">
        <v>95811.290322580695</v>
      </c>
      <c r="I20" s="1">
        <v>2571494.3548387098</v>
      </c>
      <c r="J20" s="1">
        <v>1.76</v>
      </c>
      <c r="K20" s="1">
        <v>142.136</v>
      </c>
      <c r="L20" s="1">
        <v>3.2450000000000001</v>
      </c>
      <c r="M20" s="1">
        <v>320.815</v>
      </c>
      <c r="N20" s="1">
        <v>23.311</v>
      </c>
      <c r="O20" s="1">
        <v>335.89100000000002</v>
      </c>
      <c r="P20" s="1">
        <v>171.72499999999999</v>
      </c>
      <c r="Q20" s="1">
        <v>1021.601</v>
      </c>
      <c r="R20" s="1">
        <v>87</v>
      </c>
      <c r="S20" s="1">
        <v>478</v>
      </c>
      <c r="T20" s="1">
        <v>9403.7166400000006</v>
      </c>
      <c r="U20" s="1">
        <v>41481.407200000001</v>
      </c>
      <c r="V20" s="1">
        <v>50885.123829999997</v>
      </c>
      <c r="W20" s="1">
        <v>5446</v>
      </c>
      <c r="X20" s="1">
        <v>253</v>
      </c>
      <c r="Y20" s="1">
        <v>1809.9730491558801</v>
      </c>
      <c r="Z20" s="1">
        <v>3583.2417007225699</v>
      </c>
      <c r="AA20" s="1">
        <v>26108.956943772399</v>
      </c>
      <c r="AB20" s="1">
        <v>31706.577259935999</v>
      </c>
      <c r="AD20" s="1">
        <v>24093.5648767206</v>
      </c>
      <c r="AE20" s="1">
        <v>6670.6865214956697</v>
      </c>
      <c r="AF20" s="1">
        <v>1882.89392087701</v>
      </c>
      <c r="AG20" s="1">
        <v>1.2382506894805001</v>
      </c>
      <c r="AH20" s="1">
        <v>6.9400490039923701</v>
      </c>
      <c r="AI20" s="1">
        <v>1.0114863706497501</v>
      </c>
      <c r="AJ20" s="1">
        <v>4.6456114579507899</v>
      </c>
      <c r="AK20" s="1">
        <v>0.92516611602197296</v>
      </c>
      <c r="AL20" s="1">
        <v>1.1523234920535701</v>
      </c>
      <c r="AM20" s="1">
        <v>23.273626296140002</v>
      </c>
      <c r="AN20" s="2">
        <v>0.82337280880311703</v>
      </c>
      <c r="AO20">
        <v>0.87691226290056001</v>
      </c>
      <c r="AP20" s="3">
        <f>AVERAGE(AN20:AO20)</f>
        <v>0.85014253585183852</v>
      </c>
      <c r="AQ20" s="3">
        <f>RANK(AP20,$AP$2:$AP$51,1)</f>
        <v>19</v>
      </c>
      <c r="AS20" s="1">
        <v>21</v>
      </c>
      <c r="AT20" s="1">
        <v>16</v>
      </c>
      <c r="AU20" s="1">
        <v>13</v>
      </c>
      <c r="AV20" s="1">
        <v>23</v>
      </c>
      <c r="AW20" s="1">
        <v>42</v>
      </c>
      <c r="AX20" s="1">
        <v>25</v>
      </c>
      <c r="AY20" s="1">
        <v>14</v>
      </c>
      <c r="AZ20" s="1">
        <v>2</v>
      </c>
      <c r="BA20" s="1">
        <v>38</v>
      </c>
      <c r="BB20" s="1">
        <v>34</v>
      </c>
      <c r="BC20" s="1">
        <v>17</v>
      </c>
      <c r="BD20">
        <v>18</v>
      </c>
      <c r="BE20">
        <v>19</v>
      </c>
      <c r="BF20">
        <v>39</v>
      </c>
    </row>
    <row r="21" spans="1:58" x14ac:dyDescent="0.2">
      <c r="A21" s="1">
        <v>4</v>
      </c>
      <c r="B21" s="1" t="s">
        <v>52</v>
      </c>
      <c r="C21" s="1">
        <v>16453.966</v>
      </c>
      <c r="D21" s="1">
        <v>38078.351000000002</v>
      </c>
      <c r="E21" s="1">
        <v>2.31423542506408</v>
      </c>
      <c r="F21" s="1">
        <v>1011862.48624862</v>
      </c>
      <c r="G21" s="1">
        <v>228239.823982398</v>
      </c>
      <c r="H21" s="1">
        <v>43132.0132013201</v>
      </c>
      <c r="I21" s="1">
        <v>1481481.84818482</v>
      </c>
      <c r="J21" s="1">
        <v>11.64</v>
      </c>
      <c r="K21" s="1">
        <v>438.90499999999997</v>
      </c>
      <c r="L21" s="1">
        <v>33.661000000000001</v>
      </c>
      <c r="M21" s="1">
        <v>1876.896</v>
      </c>
      <c r="N21" s="1">
        <v>15.914999999999999</v>
      </c>
      <c r="O21" s="1">
        <v>310.20699999999999</v>
      </c>
      <c r="P21" s="1">
        <v>61.156999999999996</v>
      </c>
      <c r="Q21" s="1">
        <v>617.58199999999999</v>
      </c>
      <c r="R21" s="1">
        <v>205</v>
      </c>
      <c r="S21" s="1">
        <v>116</v>
      </c>
      <c r="T21" s="1">
        <v>16305.247149999999</v>
      </c>
      <c r="U21" s="1">
        <v>17613.514770000002</v>
      </c>
      <c r="V21" s="1">
        <v>33918.761910000001</v>
      </c>
      <c r="W21" s="1">
        <v>12941</v>
      </c>
      <c r="X21" s="1">
        <v>679</v>
      </c>
      <c r="Y21" s="1">
        <v>715.18114143115895</v>
      </c>
      <c r="Z21" s="1">
        <v>1298.34480286796</v>
      </c>
      <c r="AA21" s="1">
        <v>1514.30193838231</v>
      </c>
      <c r="AB21" s="1">
        <v>23860.472637926199</v>
      </c>
      <c r="AD21" s="1">
        <v>29831.940473932998</v>
      </c>
      <c r="AE21" s="1">
        <v>6729.0140067025304</v>
      </c>
      <c r="AF21" s="1">
        <v>1271.62699262923</v>
      </c>
      <c r="AG21" s="1">
        <v>2.6520545448331601</v>
      </c>
      <c r="AH21" s="1">
        <v>5.1304451543646703</v>
      </c>
      <c r="AI21" s="1">
        <v>1.79343980700049</v>
      </c>
      <c r="AJ21" s="1">
        <v>5.2468897303144999</v>
      </c>
      <c r="AK21" s="1">
        <v>1.2572639844959399</v>
      </c>
      <c r="AL21" s="1">
        <v>0.65858519162555496</v>
      </c>
      <c r="AM21" s="1">
        <v>20.494977002650302</v>
      </c>
      <c r="AN21" s="2">
        <v>0.89708179526607701</v>
      </c>
      <c r="AO21">
        <v>0.84169463809514899</v>
      </c>
      <c r="AP21" s="3">
        <f>AVERAGE(AN21:AO21)</f>
        <v>0.86938821668061306</v>
      </c>
      <c r="AQ21" s="3">
        <f>RANK(AP21,$AP$2:$AP$51,1)</f>
        <v>20</v>
      </c>
      <c r="AS21" s="1">
        <v>29</v>
      </c>
      <c r="AT21" s="1">
        <v>17</v>
      </c>
      <c r="AU21" s="1">
        <v>5</v>
      </c>
      <c r="AV21" s="1">
        <v>37</v>
      </c>
      <c r="AW21" s="1">
        <v>35</v>
      </c>
      <c r="AX21" s="1">
        <v>37</v>
      </c>
      <c r="AY21" s="1">
        <v>20</v>
      </c>
      <c r="AZ21" s="1">
        <v>7</v>
      </c>
      <c r="BA21" s="1">
        <v>6</v>
      </c>
      <c r="BB21" s="1">
        <v>25</v>
      </c>
      <c r="BC21" s="1">
        <v>23</v>
      </c>
      <c r="BD21">
        <v>13</v>
      </c>
      <c r="BE21">
        <v>20</v>
      </c>
      <c r="BF21">
        <v>15</v>
      </c>
    </row>
    <row r="22" spans="1:58" x14ac:dyDescent="0.2">
      <c r="A22" s="1">
        <v>29</v>
      </c>
      <c r="B22" s="1" t="s">
        <v>77</v>
      </c>
      <c r="C22" s="1">
        <v>3896.922</v>
      </c>
      <c r="D22" s="1">
        <v>8453.1630000000005</v>
      </c>
      <c r="E22" s="1">
        <v>2.16918968355025</v>
      </c>
      <c r="F22" s="1">
        <v>248540.49135577801</v>
      </c>
      <c r="G22" s="1">
        <v>100359.41765241099</v>
      </c>
      <c r="H22" s="1">
        <v>99545.950864422193</v>
      </c>
      <c r="I22" s="1">
        <v>545739.76342129195</v>
      </c>
      <c r="J22" s="1">
        <v>0.5</v>
      </c>
      <c r="K22" s="1">
        <v>141.96100000000001</v>
      </c>
      <c r="L22" s="1">
        <v>2.8530000000000002</v>
      </c>
      <c r="M22" s="1">
        <v>322.74200000000002</v>
      </c>
      <c r="N22" s="1">
        <v>0.13100000000000001</v>
      </c>
      <c r="O22" s="1">
        <v>83.046000000000006</v>
      </c>
      <c r="P22" s="1">
        <v>12.597</v>
      </c>
      <c r="Q22" s="1">
        <v>223.02799999999999</v>
      </c>
      <c r="R22" s="1">
        <v>59</v>
      </c>
      <c r="S22" s="1">
        <v>43</v>
      </c>
      <c r="T22" s="1">
        <v>4937.3202199999996</v>
      </c>
      <c r="U22" s="1">
        <v>7018.9355400000004</v>
      </c>
      <c r="V22" s="1">
        <v>11956.25576</v>
      </c>
      <c r="W22" s="1">
        <v>2527</v>
      </c>
      <c r="X22" s="1">
        <v>194</v>
      </c>
      <c r="Y22" s="1">
        <v>377.71375073412901</v>
      </c>
      <c r="Z22" s="1">
        <v>703.67591196037097</v>
      </c>
      <c r="AA22" s="1">
        <v>1660.05525448498</v>
      </c>
      <c r="AB22" s="1">
        <v>10297.146723907401</v>
      </c>
      <c r="AD22" s="1">
        <v>20787.485341964399</v>
      </c>
      <c r="AE22" s="1">
        <v>8393.8834754745403</v>
      </c>
      <c r="AF22" s="1">
        <v>8325.8465578710693</v>
      </c>
      <c r="AG22" s="1">
        <v>0.35220940962658798</v>
      </c>
      <c r="AH22" s="1">
        <v>0.157743900970546</v>
      </c>
      <c r="AI22" s="1">
        <v>0.88398782928778996</v>
      </c>
      <c r="AJ22" s="1">
        <v>7.6770874554808097</v>
      </c>
      <c r="AK22" s="1">
        <v>1.1949802194519199</v>
      </c>
      <c r="AL22" s="1">
        <v>0.61262850691459703</v>
      </c>
      <c r="AM22" s="1">
        <v>19.028374162765001</v>
      </c>
      <c r="AN22" s="2">
        <v>0.81510359507075103</v>
      </c>
      <c r="AO22">
        <v>0.93008479293951596</v>
      </c>
      <c r="AP22" s="3">
        <f>AVERAGE(AN22:AO22)</f>
        <v>0.87259419400513349</v>
      </c>
      <c r="AQ22" s="3">
        <f>RANK(AP22,$AP$2:$AP$51,1)</f>
        <v>21</v>
      </c>
      <c r="AS22" s="1">
        <v>14</v>
      </c>
      <c r="AT22" s="1">
        <v>24</v>
      </c>
      <c r="AU22" s="1">
        <v>45</v>
      </c>
      <c r="AV22" s="1">
        <v>6</v>
      </c>
      <c r="AW22" s="1">
        <v>1</v>
      </c>
      <c r="AX22" s="1">
        <v>22</v>
      </c>
      <c r="AY22" s="1">
        <v>34</v>
      </c>
      <c r="AZ22" s="1">
        <v>6</v>
      </c>
      <c r="BA22" s="1">
        <v>4</v>
      </c>
      <c r="BB22" s="1">
        <v>21</v>
      </c>
      <c r="BC22" s="1">
        <v>16</v>
      </c>
      <c r="BD22">
        <v>20</v>
      </c>
      <c r="BE22">
        <v>21</v>
      </c>
      <c r="BF22">
        <v>13</v>
      </c>
    </row>
    <row r="23" spans="1:58" x14ac:dyDescent="0.2">
      <c r="A23" s="1">
        <v>3</v>
      </c>
      <c r="B23" s="1" t="s">
        <v>51</v>
      </c>
      <c r="C23" s="1">
        <v>6843.5140000000001</v>
      </c>
      <c r="D23" s="1">
        <v>20046.092000000001</v>
      </c>
      <c r="E23" s="1">
        <v>2.92921034427635</v>
      </c>
      <c r="F23" s="1">
        <v>1332971.8992248101</v>
      </c>
      <c r="G23" s="1">
        <v>156446.70542635699</v>
      </c>
      <c r="H23" s="1">
        <v>217374.031007752</v>
      </c>
      <c r="I23" s="1">
        <v>2090212.2093023299</v>
      </c>
      <c r="J23" s="1">
        <v>20.2</v>
      </c>
      <c r="K23" s="1">
        <v>909.14499999999998</v>
      </c>
      <c r="L23" s="1">
        <v>13.693</v>
      </c>
      <c r="M23" s="1">
        <v>1241.2059999999999</v>
      </c>
      <c r="N23" s="1">
        <v>5.2</v>
      </c>
      <c r="O23" s="1">
        <v>244.666</v>
      </c>
      <c r="P23" s="1">
        <v>41.607999999999997</v>
      </c>
      <c r="Q23" s="1">
        <v>663.92</v>
      </c>
      <c r="R23" s="1">
        <v>330</v>
      </c>
      <c r="S23" s="1">
        <v>613</v>
      </c>
      <c r="T23" s="1">
        <v>15767.88222</v>
      </c>
      <c r="U23" s="1">
        <v>49990.3969</v>
      </c>
      <c r="V23" s="1">
        <v>65758.279120000007</v>
      </c>
      <c r="W23" s="1">
        <v>8467</v>
      </c>
      <c r="X23" s="1">
        <v>117</v>
      </c>
      <c r="Y23" s="1">
        <v>2972</v>
      </c>
      <c r="Z23" s="1">
        <v>5780</v>
      </c>
      <c r="AA23" s="1">
        <v>41513.321012048502</v>
      </c>
      <c r="AB23" s="1">
        <v>47167.678987951498</v>
      </c>
      <c r="AD23" s="1">
        <v>20270.7844101624</v>
      </c>
      <c r="AE23" s="1">
        <v>2379.1179988281401</v>
      </c>
      <c r="AF23" s="1">
        <v>3305.6526709142399</v>
      </c>
      <c r="AG23" s="1">
        <v>2.2218677988659699</v>
      </c>
      <c r="AH23" s="1">
        <v>2.1253463905896202</v>
      </c>
      <c r="AI23" s="1">
        <v>1.1032012413733101</v>
      </c>
      <c r="AJ23" s="1">
        <v>1.38183536081257</v>
      </c>
      <c r="AK23" s="1">
        <v>2.0928619036830902</v>
      </c>
      <c r="AL23" s="1">
        <v>1.2262355132451399</v>
      </c>
      <c r="AM23" s="1">
        <v>22.1286411002012</v>
      </c>
      <c r="AN23" s="2">
        <v>0.77826951855151705</v>
      </c>
      <c r="AO23">
        <v>0.97449476964588699</v>
      </c>
      <c r="AP23" s="3">
        <f>AVERAGE(AN23:AO23)</f>
        <v>0.87638214409870208</v>
      </c>
      <c r="AQ23" s="3">
        <f>RANK(AP23,$AP$2:$AP$51,1)</f>
        <v>22</v>
      </c>
      <c r="AS23" s="1">
        <v>12</v>
      </c>
      <c r="AT23" s="1">
        <v>1</v>
      </c>
      <c r="AU23" s="1">
        <v>26</v>
      </c>
      <c r="AV23" s="1">
        <v>34</v>
      </c>
      <c r="AW23" s="1">
        <v>14</v>
      </c>
      <c r="AX23" s="1">
        <v>27</v>
      </c>
      <c r="AY23" s="1">
        <v>1</v>
      </c>
      <c r="AZ23" s="1">
        <v>40</v>
      </c>
      <c r="BA23" s="1">
        <v>41</v>
      </c>
      <c r="BB23" s="1">
        <v>27</v>
      </c>
      <c r="BC23" s="1">
        <v>12</v>
      </c>
      <c r="BD23">
        <v>23</v>
      </c>
      <c r="BE23">
        <v>22</v>
      </c>
      <c r="BF23">
        <v>31</v>
      </c>
    </row>
    <row r="24" spans="1:58" x14ac:dyDescent="0.2">
      <c r="A24" s="1">
        <v>35</v>
      </c>
      <c r="B24" s="1" t="s">
        <v>83</v>
      </c>
      <c r="C24" s="1">
        <v>19257.183000000001</v>
      </c>
      <c r="D24" s="1">
        <v>49680.663</v>
      </c>
      <c r="E24" s="1">
        <v>2.5798510093610298</v>
      </c>
      <c r="F24" s="1">
        <v>2158138.0065717399</v>
      </c>
      <c r="G24" s="1">
        <v>525785.32311062398</v>
      </c>
      <c r="H24" s="1">
        <v>670888.28039430501</v>
      </c>
      <c r="I24" s="1">
        <v>4371035.0492880596</v>
      </c>
      <c r="J24" s="1">
        <v>13.97</v>
      </c>
      <c r="K24" s="1">
        <v>642.63</v>
      </c>
      <c r="L24" s="1">
        <v>9.4480000000000004</v>
      </c>
      <c r="M24" s="1">
        <v>1521.8710000000001</v>
      </c>
      <c r="N24" s="1">
        <v>42.473999999999997</v>
      </c>
      <c r="O24" s="1">
        <v>930.68399999999997</v>
      </c>
      <c r="P24" s="1">
        <v>368.53800000000001</v>
      </c>
      <c r="Q24" s="1">
        <v>2398.0309999999999</v>
      </c>
      <c r="R24" s="1">
        <v>471</v>
      </c>
      <c r="S24" s="1">
        <v>727</v>
      </c>
      <c r="T24" s="1">
        <v>31182.200489999999</v>
      </c>
      <c r="U24" s="1">
        <v>71932.735639999999</v>
      </c>
      <c r="V24" s="1">
        <v>103114.93613</v>
      </c>
      <c r="W24" s="1">
        <v>27151</v>
      </c>
      <c r="X24" s="1">
        <v>1334</v>
      </c>
      <c r="Y24" s="1">
        <v>4026.8801066583701</v>
      </c>
      <c r="Z24" s="1">
        <v>7786.0447142265202</v>
      </c>
      <c r="AA24" s="1">
        <v>60576.015994242698</v>
      </c>
      <c r="AB24" s="1">
        <v>58452.606885061003</v>
      </c>
      <c r="AD24" s="1">
        <v>20929.441335743199</v>
      </c>
      <c r="AE24" s="1">
        <v>5099.0219539849304</v>
      </c>
      <c r="AF24" s="1">
        <v>6506.2182606455399</v>
      </c>
      <c r="AG24" s="1">
        <v>2.1738792151004498</v>
      </c>
      <c r="AH24" s="1">
        <v>4.5637402168727501</v>
      </c>
      <c r="AI24" s="1">
        <v>0.62081477339406599</v>
      </c>
      <c r="AJ24" s="1">
        <v>4.91326286324629</v>
      </c>
      <c r="AK24" s="1">
        <v>1.5104771074480401</v>
      </c>
      <c r="AL24" s="1">
        <v>1.01066641429905</v>
      </c>
      <c r="AM24" s="1">
        <v>22.550270871197601</v>
      </c>
      <c r="AN24" s="2">
        <v>0.91053955393499297</v>
      </c>
      <c r="AO24">
        <v>0.85884067311979495</v>
      </c>
      <c r="AP24" s="3">
        <f>AVERAGE(AN24:AO24)</f>
        <v>0.88469011352739391</v>
      </c>
      <c r="AQ24" s="3">
        <f>RANK(AP24,$AP$2:$AP$51,1)</f>
        <v>23</v>
      </c>
      <c r="AS24" s="1">
        <v>15</v>
      </c>
      <c r="AT24" s="1">
        <v>9</v>
      </c>
      <c r="AU24" s="1">
        <v>41</v>
      </c>
      <c r="AV24" s="1">
        <v>33</v>
      </c>
      <c r="AW24" s="1">
        <v>32</v>
      </c>
      <c r="AX24" s="1">
        <v>17</v>
      </c>
      <c r="AY24" s="1">
        <v>16</v>
      </c>
      <c r="AZ24" s="1">
        <v>17</v>
      </c>
      <c r="BA24" s="1">
        <v>24</v>
      </c>
      <c r="BB24" s="1">
        <v>30</v>
      </c>
      <c r="BC24" s="1">
        <v>25</v>
      </c>
      <c r="BD24">
        <v>16</v>
      </c>
      <c r="BE24">
        <v>23</v>
      </c>
      <c r="BF24">
        <v>24</v>
      </c>
    </row>
    <row r="25" spans="1:58" x14ac:dyDescent="0.2">
      <c r="A25" s="1">
        <v>37</v>
      </c>
      <c r="B25" s="1" t="s">
        <v>85</v>
      </c>
      <c r="C25" s="1">
        <v>7602.71</v>
      </c>
      <c r="D25" s="1">
        <v>18460.349999999999</v>
      </c>
      <c r="E25" s="1">
        <v>2.42812760186828</v>
      </c>
      <c r="F25" s="1">
        <v>710496.54112221405</v>
      </c>
      <c r="G25" s="1">
        <v>224260.56879323599</v>
      </c>
      <c r="H25" s="1">
        <v>122941.583397387</v>
      </c>
      <c r="I25" s="1">
        <v>1538136.8178324399</v>
      </c>
      <c r="J25" s="1">
        <v>3.24</v>
      </c>
      <c r="K25" s="1">
        <v>493.51</v>
      </c>
      <c r="L25" s="1">
        <v>19.100000000000001</v>
      </c>
      <c r="M25" s="1">
        <v>2652.45</v>
      </c>
      <c r="N25" s="1">
        <v>6.69</v>
      </c>
      <c r="O25" s="1">
        <v>232.69</v>
      </c>
      <c r="P25" s="1">
        <v>64.989999999999995</v>
      </c>
      <c r="Q25" s="1">
        <v>838.77</v>
      </c>
      <c r="R25" s="1">
        <v>285</v>
      </c>
      <c r="S25" s="1">
        <v>223</v>
      </c>
      <c r="T25" s="1">
        <v>12375.820879999999</v>
      </c>
      <c r="U25" s="1">
        <v>19922.157569999999</v>
      </c>
      <c r="V25" s="1">
        <v>32297.978449999999</v>
      </c>
      <c r="W25" s="1">
        <v>8235</v>
      </c>
      <c r="X25" s="1">
        <v>382</v>
      </c>
      <c r="Y25" s="1">
        <v>1244.0878420415399</v>
      </c>
      <c r="Z25" s="1">
        <v>2659.4858288381201</v>
      </c>
      <c r="AA25" s="1">
        <v>19698.479860825399</v>
      </c>
      <c r="AB25" s="1">
        <v>18798.851967887698</v>
      </c>
      <c r="AD25" s="1">
        <v>21998.1737315889</v>
      </c>
      <c r="AE25" s="1">
        <v>6943.4862352270802</v>
      </c>
      <c r="AF25" s="1">
        <v>3806.4792069791802</v>
      </c>
      <c r="AG25" s="1">
        <v>0.65652165103037396</v>
      </c>
      <c r="AH25" s="1">
        <v>2.8750698354033299</v>
      </c>
      <c r="AI25" s="1">
        <v>0.72008897434447405</v>
      </c>
      <c r="AJ25" s="1">
        <v>4.6387370977534896</v>
      </c>
      <c r="AK25" s="1">
        <v>2.3028775445560599</v>
      </c>
      <c r="AL25" s="1">
        <v>1.11935667216992</v>
      </c>
      <c r="AM25" s="1">
        <v>22.902276753399999</v>
      </c>
      <c r="AN25" s="2">
        <v>0.80740234525450405</v>
      </c>
      <c r="AO25">
        <v>1.0300282030777801</v>
      </c>
      <c r="AP25" s="3">
        <f>AVERAGE(AN25:AO25)</f>
        <v>0.91871527416614207</v>
      </c>
      <c r="AQ25" s="3">
        <f>RANK(AP25,$AP$2:$AP$51,1)</f>
        <v>24</v>
      </c>
      <c r="AS25" s="1">
        <v>17</v>
      </c>
      <c r="AT25" s="1">
        <v>18</v>
      </c>
      <c r="AU25" s="1">
        <v>32</v>
      </c>
      <c r="AV25" s="1">
        <v>11</v>
      </c>
      <c r="AW25" s="1">
        <v>21</v>
      </c>
      <c r="AX25" s="1">
        <v>20</v>
      </c>
      <c r="AY25" s="1">
        <v>13</v>
      </c>
      <c r="AZ25" s="1">
        <v>48</v>
      </c>
      <c r="BA25" s="1">
        <v>33</v>
      </c>
      <c r="BB25" s="1">
        <v>33</v>
      </c>
      <c r="BC25" s="1">
        <v>14</v>
      </c>
      <c r="BD25">
        <v>29</v>
      </c>
      <c r="BE25">
        <v>24</v>
      </c>
      <c r="BF25">
        <v>29</v>
      </c>
    </row>
    <row r="26" spans="1:58" x14ac:dyDescent="0.2">
      <c r="A26" s="1">
        <v>27</v>
      </c>
      <c r="B26" s="1" t="s">
        <v>75</v>
      </c>
      <c r="C26" s="1">
        <v>9939.26</v>
      </c>
      <c r="D26" s="1">
        <v>22540.86</v>
      </c>
      <c r="E26" s="1">
        <v>2.2678609876389202</v>
      </c>
      <c r="F26" s="1">
        <v>516057.63073639298</v>
      </c>
      <c r="G26" s="1">
        <v>239955.17609391699</v>
      </c>
      <c r="H26" s="1">
        <v>20494.130202774799</v>
      </c>
      <c r="I26" s="1">
        <v>870887.94023479195</v>
      </c>
      <c r="J26" s="1">
        <v>2.56</v>
      </c>
      <c r="K26" s="1">
        <v>414.6</v>
      </c>
      <c r="L26" s="1">
        <v>33.22</v>
      </c>
      <c r="M26" s="1">
        <v>2337.7339999999999</v>
      </c>
      <c r="N26" s="1">
        <v>2.65</v>
      </c>
      <c r="O26" s="1">
        <v>68.83</v>
      </c>
      <c r="P26" s="1">
        <v>91.03</v>
      </c>
      <c r="Q26" s="1">
        <v>317.19200000000001</v>
      </c>
      <c r="R26" s="1">
        <v>165</v>
      </c>
      <c r="S26" s="1">
        <v>68</v>
      </c>
      <c r="T26" s="1">
        <v>10836.16826</v>
      </c>
      <c r="U26" s="1">
        <v>8595.6964499999995</v>
      </c>
      <c r="V26" s="1">
        <v>19431.864720000001</v>
      </c>
      <c r="W26" s="1">
        <v>15348</v>
      </c>
      <c r="X26" s="1">
        <v>1280</v>
      </c>
      <c r="Y26" s="1">
        <v>573.57802255065496</v>
      </c>
      <c r="Z26" s="1">
        <v>1079.0056953507101</v>
      </c>
      <c r="AA26" s="1">
        <v>4958.8332506981897</v>
      </c>
      <c r="AB26" s="1">
        <v>6456.4401263293503</v>
      </c>
      <c r="AD26" s="1">
        <v>26557.288153887101</v>
      </c>
      <c r="AE26" s="1">
        <v>12348.540891546299</v>
      </c>
      <c r="AF26" s="1">
        <v>1054.6661629278201</v>
      </c>
      <c r="AG26" s="1">
        <v>0.61746261456825902</v>
      </c>
      <c r="AH26" s="1">
        <v>3.85006537846869</v>
      </c>
      <c r="AI26" s="1">
        <v>1.4210342151844499</v>
      </c>
      <c r="AJ26" s="1">
        <v>8.3398488402397692</v>
      </c>
      <c r="AK26" s="1">
        <v>1.5226784601441801</v>
      </c>
      <c r="AL26" s="1">
        <v>0.79109354774853602</v>
      </c>
      <c r="AM26" s="1">
        <v>14.629132237287401</v>
      </c>
      <c r="AN26" s="2">
        <v>0.83231898123205506</v>
      </c>
      <c r="AO26">
        <v>1.01300008374579</v>
      </c>
      <c r="AP26" s="3">
        <f>AVERAGE(AN26:AO26)</f>
        <v>0.92265953248892252</v>
      </c>
      <c r="AQ26" s="3">
        <f>RANK(AP26,$AP$2:$AP$51,1)</f>
        <v>25</v>
      </c>
      <c r="AS26" s="1">
        <v>27</v>
      </c>
      <c r="AT26" s="1">
        <v>37</v>
      </c>
      <c r="AU26" s="1">
        <v>2</v>
      </c>
      <c r="AV26" s="1">
        <v>10</v>
      </c>
      <c r="AW26" s="1">
        <v>29</v>
      </c>
      <c r="AX26" s="1">
        <v>34</v>
      </c>
      <c r="AY26" s="1">
        <v>36</v>
      </c>
      <c r="AZ26" s="1">
        <v>20</v>
      </c>
      <c r="BA26" s="1">
        <v>11</v>
      </c>
      <c r="BB26" s="1">
        <v>8</v>
      </c>
      <c r="BC26" s="1">
        <v>19</v>
      </c>
      <c r="BD26">
        <v>28</v>
      </c>
      <c r="BE26">
        <v>25</v>
      </c>
      <c r="BF26">
        <v>18</v>
      </c>
    </row>
    <row r="27" spans="1:58" x14ac:dyDescent="0.2">
      <c r="A27" s="1">
        <v>14</v>
      </c>
      <c r="B27" s="1" t="s">
        <v>62</v>
      </c>
      <c r="C27" s="1">
        <v>11029.486000000001</v>
      </c>
      <c r="D27" s="1">
        <v>28444.825000000001</v>
      </c>
      <c r="E27" s="1">
        <v>2.5789801084112201</v>
      </c>
      <c r="F27" s="1">
        <v>1715331.12582781</v>
      </c>
      <c r="G27" s="1">
        <v>1014589.40397351</v>
      </c>
      <c r="H27" s="1">
        <v>118059.60264900701</v>
      </c>
      <c r="I27" s="1">
        <v>2987215.2317880802</v>
      </c>
      <c r="J27" s="1">
        <v>21.231999999999999</v>
      </c>
      <c r="K27" s="1">
        <v>768.94500000000005</v>
      </c>
      <c r="L27" s="1">
        <v>7.3460000000000001</v>
      </c>
      <c r="M27" s="1">
        <v>1969.518</v>
      </c>
      <c r="N27" s="1">
        <v>20.853000000000002</v>
      </c>
      <c r="O27" s="1">
        <v>491.88900000000001</v>
      </c>
      <c r="P27" s="1">
        <v>114.33799999999999</v>
      </c>
      <c r="Q27" s="1">
        <v>1717.31</v>
      </c>
      <c r="R27" s="1">
        <v>524</v>
      </c>
      <c r="S27" s="1">
        <v>373</v>
      </c>
      <c r="T27" s="1">
        <v>27731.139520000001</v>
      </c>
      <c r="U27" s="1">
        <v>48876.600960000003</v>
      </c>
      <c r="V27" s="1">
        <v>76607.740489999996</v>
      </c>
      <c r="W27" s="1">
        <v>19337</v>
      </c>
      <c r="X27" s="1">
        <v>1082</v>
      </c>
      <c r="Y27" s="1">
        <v>2147.7260548902</v>
      </c>
      <c r="Z27" s="1">
        <v>4254.8492279761203</v>
      </c>
      <c r="AA27" s="1">
        <v>29781.866658216299</v>
      </c>
      <c r="AB27" s="1">
        <v>23421.593727405801</v>
      </c>
      <c r="AD27" s="1">
        <v>22391.094096447399</v>
      </c>
      <c r="AE27" s="1">
        <v>13243.954168129399</v>
      </c>
      <c r="AF27" s="1">
        <v>1541.09234776892</v>
      </c>
      <c r="AG27" s="1">
        <v>2.7611857805174602</v>
      </c>
      <c r="AH27" s="1">
        <v>4.2393710776211702</v>
      </c>
      <c r="AI27" s="1">
        <v>0.37298465919072599</v>
      </c>
      <c r="AJ27" s="1">
        <v>5.59549051042044</v>
      </c>
      <c r="AK27" s="1">
        <v>1.8895725493793201</v>
      </c>
      <c r="AL27" s="1">
        <v>0.76314635771267803</v>
      </c>
      <c r="AM27" s="1">
        <v>19.371379516461101</v>
      </c>
      <c r="AN27" s="2">
        <v>0.85516699674117103</v>
      </c>
      <c r="AO27">
        <v>0.99767443045784499</v>
      </c>
      <c r="AP27" s="3">
        <f>AVERAGE(AN27:AO27)</f>
        <v>0.92642071359950795</v>
      </c>
      <c r="AQ27" s="3">
        <f>RANK(AP27,$AP$2:$AP$51,1)</f>
        <v>26</v>
      </c>
      <c r="AS27" s="1">
        <v>18</v>
      </c>
      <c r="AT27" s="1">
        <v>40</v>
      </c>
      <c r="AU27" s="1">
        <v>8</v>
      </c>
      <c r="AV27" s="1">
        <v>39</v>
      </c>
      <c r="AW27" s="1">
        <v>31</v>
      </c>
      <c r="AX27" s="1">
        <v>7</v>
      </c>
      <c r="AY27" s="1">
        <v>24</v>
      </c>
      <c r="AZ27" s="1">
        <v>34</v>
      </c>
      <c r="BA27" s="1">
        <v>9</v>
      </c>
      <c r="BB27" s="1">
        <v>22</v>
      </c>
      <c r="BC27" s="1">
        <v>20</v>
      </c>
      <c r="BD27">
        <v>26</v>
      </c>
      <c r="BE27">
        <v>26</v>
      </c>
      <c r="BF27">
        <v>30</v>
      </c>
    </row>
    <row r="28" spans="1:58" x14ac:dyDescent="0.2">
      <c r="A28" s="1">
        <v>50</v>
      </c>
      <c r="B28" s="1" t="s">
        <v>98</v>
      </c>
      <c r="C28" s="1">
        <v>6734.893</v>
      </c>
      <c r="D28" s="1">
        <v>15792.422</v>
      </c>
      <c r="E28" s="1">
        <v>2.3448660580056702</v>
      </c>
      <c r="F28" s="1">
        <v>396854.71898197202</v>
      </c>
      <c r="G28" s="1">
        <v>112823.966065748</v>
      </c>
      <c r="H28" s="1">
        <v>44699.893955461303</v>
      </c>
      <c r="I28" s="1">
        <v>598490.98621421005</v>
      </c>
      <c r="J28" s="1">
        <v>12.717000000000001</v>
      </c>
      <c r="K28" s="1">
        <v>807.05</v>
      </c>
      <c r="L28" s="1">
        <v>5.9210000000000003</v>
      </c>
      <c r="M28" s="1">
        <v>1914.3040000000001</v>
      </c>
      <c r="N28" s="1">
        <v>7.0810000000000004</v>
      </c>
      <c r="O28" s="1">
        <v>105.65300000000001</v>
      </c>
      <c r="P28" s="1">
        <v>11.374000000000001</v>
      </c>
      <c r="Q28" s="1">
        <v>191.40700000000001</v>
      </c>
      <c r="R28" s="1">
        <v>101</v>
      </c>
      <c r="S28" s="1">
        <v>25</v>
      </c>
      <c r="T28" s="1">
        <v>7138.5620200000003</v>
      </c>
      <c r="U28" s="1">
        <v>2661.7577900000001</v>
      </c>
      <c r="V28" s="1">
        <v>9800.3198100000009</v>
      </c>
      <c r="W28" s="1">
        <v>3114</v>
      </c>
      <c r="X28" s="1">
        <v>230</v>
      </c>
      <c r="Y28" s="1">
        <v>89</v>
      </c>
      <c r="Z28" s="1">
        <v>157</v>
      </c>
      <c r="AA28" s="1">
        <v>-1.52941176470586</v>
      </c>
      <c r="AB28" s="1">
        <v>1022.5294117647099</v>
      </c>
      <c r="AD28" s="1">
        <v>40494.058018089599</v>
      </c>
      <c r="AE28" s="1">
        <v>11512.273910758</v>
      </c>
      <c r="AF28" s="1">
        <v>4561.06482462446</v>
      </c>
      <c r="AG28" s="1">
        <v>1.5757388018090599</v>
      </c>
      <c r="AH28" s="1">
        <v>6.7021286664836799</v>
      </c>
      <c r="AI28" s="1">
        <v>0.30930301561298501</v>
      </c>
      <c r="AJ28" s="1">
        <v>7.3859987154784799</v>
      </c>
      <c r="AK28" s="1">
        <v>1.4148507741059</v>
      </c>
      <c r="AL28" s="1">
        <v>0.93922895967179598</v>
      </c>
      <c r="AM28" s="1">
        <v>6.4957417877334898</v>
      </c>
      <c r="AN28" s="2">
        <v>0.94986980862598203</v>
      </c>
      <c r="AO28">
        <v>0.97666644105344402</v>
      </c>
      <c r="AP28" s="3">
        <f>AVERAGE(AN28:AO28)</f>
        <v>0.96326812483971302</v>
      </c>
      <c r="AQ28" s="3">
        <f>RANK(AP28,$AP$2:$AP$51,1)</f>
        <v>27</v>
      </c>
      <c r="AS28" s="1">
        <v>42</v>
      </c>
      <c r="AT28" s="1">
        <v>36</v>
      </c>
      <c r="AU28" s="1">
        <v>36</v>
      </c>
      <c r="AV28" s="1">
        <v>31</v>
      </c>
      <c r="AW28" s="1">
        <v>41</v>
      </c>
      <c r="AX28" s="1">
        <v>4</v>
      </c>
      <c r="AY28" s="1">
        <v>32</v>
      </c>
      <c r="AZ28" s="1">
        <v>14</v>
      </c>
      <c r="BA28" s="1">
        <v>21</v>
      </c>
      <c r="BB28" s="1">
        <v>1</v>
      </c>
      <c r="BC28" s="1">
        <v>30</v>
      </c>
      <c r="BD28">
        <v>24</v>
      </c>
      <c r="BE28">
        <v>27</v>
      </c>
      <c r="BF28">
        <v>11</v>
      </c>
    </row>
    <row r="29" spans="1:58" x14ac:dyDescent="0.2">
      <c r="A29" s="1">
        <v>49</v>
      </c>
      <c r="B29" s="1" t="s">
        <v>97</v>
      </c>
      <c r="C29" s="1">
        <v>11747.23</v>
      </c>
      <c r="D29" s="1">
        <v>29805.73</v>
      </c>
      <c r="E29" s="1">
        <v>2.5372560169503799</v>
      </c>
      <c r="F29" s="1">
        <v>1436324.68879668</v>
      </c>
      <c r="G29" s="1">
        <v>362689.83402489597</v>
      </c>
      <c r="H29" s="1">
        <v>186943.98340249</v>
      </c>
      <c r="I29" s="1">
        <v>2633938.7966804998</v>
      </c>
      <c r="J29" s="1">
        <v>13.34</v>
      </c>
      <c r="K29" s="1">
        <v>508.16</v>
      </c>
      <c r="L29" s="1">
        <v>43.12</v>
      </c>
      <c r="M29" s="1">
        <v>2825.2750000000001</v>
      </c>
      <c r="N29" s="1">
        <v>19.161000000000001</v>
      </c>
      <c r="O29" s="1">
        <v>366.16</v>
      </c>
      <c r="P29" s="1">
        <v>327.233</v>
      </c>
      <c r="Q29" s="1">
        <v>1891.135</v>
      </c>
      <c r="R29" s="1">
        <v>382</v>
      </c>
      <c r="S29" s="1">
        <v>228</v>
      </c>
      <c r="T29" s="1">
        <v>29253.111540000002</v>
      </c>
      <c r="U29" s="1">
        <v>28346.82951</v>
      </c>
      <c r="V29" s="1">
        <v>57599.941050000001</v>
      </c>
      <c r="W29" s="1">
        <v>14307</v>
      </c>
      <c r="X29" s="1">
        <v>987</v>
      </c>
      <c r="Y29" s="1">
        <v>1865.3841755585499</v>
      </c>
      <c r="Z29" s="1">
        <v>3571.6330593574799</v>
      </c>
      <c r="AA29" s="1">
        <v>18469.990986693701</v>
      </c>
      <c r="AB29" s="1">
        <v>25456.863399165399</v>
      </c>
      <c r="AD29" s="1">
        <v>24936.2180344919</v>
      </c>
      <c r="AE29" s="1">
        <v>6296.7049516606503</v>
      </c>
      <c r="AF29" s="1">
        <v>3245.5585890307002</v>
      </c>
      <c r="AG29" s="1">
        <v>2.6251574307304799</v>
      </c>
      <c r="AH29" s="1">
        <v>5.2329582696089103</v>
      </c>
      <c r="AI29" s="1">
        <v>1.5262231110245901</v>
      </c>
      <c r="AJ29" s="1">
        <v>6.8987209058502801</v>
      </c>
      <c r="AK29" s="1">
        <v>1.30584399364718</v>
      </c>
      <c r="AL29" s="1">
        <v>0.80432275475311199</v>
      </c>
      <c r="AM29" s="1">
        <v>17.0289544561101</v>
      </c>
      <c r="AN29" s="2">
        <v>0.93611782754035699</v>
      </c>
      <c r="AO29">
        <v>0.99736659286849205</v>
      </c>
      <c r="AP29" s="3">
        <f>AVERAGE(AN29:AO29)</f>
        <v>0.96674221020442452</v>
      </c>
      <c r="AQ29" s="3">
        <f>RANK(AP29,$AP$2:$AP$51,1)</f>
        <v>28</v>
      </c>
      <c r="AS29" s="1">
        <v>22</v>
      </c>
      <c r="AT29" s="1">
        <v>14</v>
      </c>
      <c r="AU29" s="1">
        <v>25</v>
      </c>
      <c r="AV29" s="1">
        <v>36</v>
      </c>
      <c r="AW29" s="1">
        <v>37</v>
      </c>
      <c r="AX29" s="1">
        <v>35</v>
      </c>
      <c r="AY29" s="1">
        <v>27</v>
      </c>
      <c r="AZ29" s="1">
        <v>11</v>
      </c>
      <c r="BA29" s="1">
        <v>13</v>
      </c>
      <c r="BB29" s="1">
        <v>15</v>
      </c>
      <c r="BC29" s="1">
        <v>29</v>
      </c>
      <c r="BD29">
        <v>25</v>
      </c>
      <c r="BE29">
        <v>28</v>
      </c>
      <c r="BF29">
        <v>28</v>
      </c>
    </row>
    <row r="30" spans="1:58" x14ac:dyDescent="0.2">
      <c r="A30" s="1">
        <v>22</v>
      </c>
      <c r="B30" s="1" t="s">
        <v>70</v>
      </c>
      <c r="C30" s="1">
        <v>9648.5660000000007</v>
      </c>
      <c r="D30" s="1">
        <v>27366.346000000001</v>
      </c>
      <c r="E30" s="1">
        <v>2.83631225614252</v>
      </c>
      <c r="F30" s="1">
        <v>1591935.3778751399</v>
      </c>
      <c r="G30" s="1">
        <v>415182.91347207001</v>
      </c>
      <c r="H30" s="1">
        <v>139316.53888280399</v>
      </c>
      <c r="I30" s="1">
        <v>2774588.1708652801</v>
      </c>
      <c r="J30" s="1">
        <v>16.760999999999999</v>
      </c>
      <c r="K30" s="1">
        <v>558.10199999999998</v>
      </c>
      <c r="L30" s="1">
        <v>15.055</v>
      </c>
      <c r="M30" s="1">
        <v>2129.91</v>
      </c>
      <c r="N30" s="1">
        <v>52.423999999999999</v>
      </c>
      <c r="O30" s="1">
        <v>672.84299999999996</v>
      </c>
      <c r="P30" s="1">
        <v>393.858</v>
      </c>
      <c r="Q30" s="1">
        <v>2323.23</v>
      </c>
      <c r="R30" s="1">
        <v>430</v>
      </c>
      <c r="S30" s="1">
        <v>651</v>
      </c>
      <c r="T30" s="1">
        <v>27593.023089999999</v>
      </c>
      <c r="U30" s="1">
        <v>58953.971839999998</v>
      </c>
      <c r="V30" s="1">
        <v>86546.994930000001</v>
      </c>
      <c r="W30" s="1">
        <v>11284</v>
      </c>
      <c r="X30" s="1">
        <v>1240</v>
      </c>
      <c r="Y30" s="1">
        <v>3668.54953878777</v>
      </c>
      <c r="Z30" s="1">
        <v>6710.9280546377504</v>
      </c>
      <c r="AA30" s="1">
        <v>50301.457688484901</v>
      </c>
      <c r="AB30" s="1">
        <v>71291.154995023098</v>
      </c>
      <c r="AD30" s="1">
        <v>18393.883914313901</v>
      </c>
      <c r="AE30" s="1">
        <v>4797.1961800392201</v>
      </c>
      <c r="AF30" s="1">
        <v>1609.72127334386</v>
      </c>
      <c r="AG30" s="1">
        <v>3.0032144661728499</v>
      </c>
      <c r="AH30" s="1">
        <v>7.7914164225532598</v>
      </c>
      <c r="AI30" s="1">
        <v>0.70683737810517799</v>
      </c>
      <c r="AJ30" s="1">
        <v>10.989010989011</v>
      </c>
      <c r="AK30" s="1">
        <v>1.5583649482605499</v>
      </c>
      <c r="AL30" s="1">
        <v>1.1042512992454601</v>
      </c>
      <c r="AM30" s="1">
        <v>24.334682334243901</v>
      </c>
      <c r="AN30" s="2">
        <v>0.97369497090888502</v>
      </c>
      <c r="AO30">
        <v>1.0083393345171301</v>
      </c>
      <c r="AP30" s="3">
        <f>AVERAGE(AN30:AO30)</f>
        <v>0.99101715271300761</v>
      </c>
      <c r="AQ30" s="3">
        <f>RANK(AP30,$AP$2:$AP$51,1)</f>
        <v>29</v>
      </c>
      <c r="AS30" s="1">
        <v>7</v>
      </c>
      <c r="AT30" s="1">
        <v>8</v>
      </c>
      <c r="AU30" s="1">
        <v>9</v>
      </c>
      <c r="AV30" s="1">
        <v>41</v>
      </c>
      <c r="AW30" s="1">
        <v>43</v>
      </c>
      <c r="AX30" s="1">
        <v>19</v>
      </c>
      <c r="AY30" s="1">
        <v>42</v>
      </c>
      <c r="AZ30" s="1">
        <v>24</v>
      </c>
      <c r="BA30" s="1">
        <v>32</v>
      </c>
      <c r="BB30" s="1">
        <v>36</v>
      </c>
      <c r="BC30" s="1">
        <v>31</v>
      </c>
      <c r="BD30">
        <v>27</v>
      </c>
      <c r="BE30">
        <v>29</v>
      </c>
      <c r="BF30">
        <v>32</v>
      </c>
    </row>
    <row r="31" spans="1:58" x14ac:dyDescent="0.2">
      <c r="A31" s="1">
        <v>26</v>
      </c>
      <c r="B31" s="1" t="s">
        <v>74</v>
      </c>
      <c r="C31" s="1">
        <v>11025.544</v>
      </c>
      <c r="D31" s="1">
        <v>25210.881000000001</v>
      </c>
      <c r="E31" s="1">
        <v>2.2865883987220901</v>
      </c>
      <c r="F31" s="1">
        <v>524781.52929493506</v>
      </c>
      <c r="G31" s="1">
        <v>133387.28897716</v>
      </c>
      <c r="H31" s="1">
        <v>43834.1608738828</v>
      </c>
      <c r="I31" s="1">
        <v>778665.34260178695</v>
      </c>
      <c r="J31" s="1">
        <v>14.5</v>
      </c>
      <c r="K31" s="1">
        <v>1095.069</v>
      </c>
      <c r="L31" s="1">
        <v>43.36</v>
      </c>
      <c r="M31" s="1">
        <v>2772.9769999999999</v>
      </c>
      <c r="N31" s="1">
        <v>1.7</v>
      </c>
      <c r="O31" s="1">
        <v>97.707999999999998</v>
      </c>
      <c r="P31" s="1">
        <v>38.067</v>
      </c>
      <c r="Q31" s="1">
        <v>255.62299999999999</v>
      </c>
      <c r="R31" s="1">
        <v>190</v>
      </c>
      <c r="S31" s="1">
        <v>22</v>
      </c>
      <c r="T31" s="1">
        <v>8423.3775299999998</v>
      </c>
      <c r="U31" s="1">
        <v>3680.7138100000002</v>
      </c>
      <c r="V31" s="1">
        <v>12104.091340000001</v>
      </c>
      <c r="W31" s="1">
        <v>5266</v>
      </c>
      <c r="X31" s="1">
        <v>365</v>
      </c>
      <c r="Y31" s="1">
        <v>158</v>
      </c>
      <c r="Z31" s="1">
        <v>275</v>
      </c>
      <c r="AA31" s="1">
        <v>-241.535343035343</v>
      </c>
      <c r="AB31" s="1">
        <v>2630.5353430353398</v>
      </c>
      <c r="AD31" s="1">
        <v>43355.714572370001</v>
      </c>
      <c r="AE31" s="1">
        <v>11020.0167224746</v>
      </c>
      <c r="AF31" s="1">
        <v>3621.4334180563801</v>
      </c>
      <c r="AG31" s="1">
        <v>1.3241174757024401</v>
      </c>
      <c r="AH31" s="1">
        <v>1.7398780038482</v>
      </c>
      <c r="AI31" s="1">
        <v>1.5636624465330899</v>
      </c>
      <c r="AJ31" s="1">
        <v>6.9312571211545801</v>
      </c>
      <c r="AK31" s="1">
        <v>2.2556272626189702</v>
      </c>
      <c r="AL31" s="1">
        <v>0.59771014905394104</v>
      </c>
      <c r="AM31" s="1">
        <v>8.0368783628277303</v>
      </c>
      <c r="AN31" s="2">
        <v>0.93600589210766105</v>
      </c>
      <c r="AO31">
        <v>1.07666270427823</v>
      </c>
      <c r="AP31" s="3">
        <f>AVERAGE(AN31:AO31)</f>
        <v>1.0063342981929455</v>
      </c>
      <c r="AQ31" s="3">
        <f>RANK(AP31,$AP$2:$AP$51,1)</f>
        <v>30</v>
      </c>
      <c r="AS31" s="1">
        <v>44</v>
      </c>
      <c r="AT31" s="1">
        <v>34</v>
      </c>
      <c r="AU31" s="1">
        <v>30</v>
      </c>
      <c r="AV31" s="1">
        <v>25</v>
      </c>
      <c r="AW31" s="1">
        <v>13</v>
      </c>
      <c r="AX31" s="1">
        <v>36</v>
      </c>
      <c r="AY31" s="1">
        <v>28</v>
      </c>
      <c r="AZ31" s="1">
        <v>47</v>
      </c>
      <c r="BA31" s="1">
        <v>2</v>
      </c>
      <c r="BB31" s="1">
        <v>3</v>
      </c>
      <c r="BC31" s="1">
        <v>28</v>
      </c>
      <c r="BD31">
        <v>31</v>
      </c>
      <c r="BE31">
        <v>30</v>
      </c>
      <c r="BF31">
        <v>14</v>
      </c>
    </row>
    <row r="32" spans="1:58" x14ac:dyDescent="0.2">
      <c r="A32" s="1">
        <v>12</v>
      </c>
      <c r="B32" s="1" t="s">
        <v>60</v>
      </c>
      <c r="C32" s="1">
        <v>4968.1940000000004</v>
      </c>
      <c r="D32" s="1">
        <v>12272.361000000001</v>
      </c>
      <c r="E32" s="1">
        <v>2.4701855442843001</v>
      </c>
      <c r="F32" s="1">
        <v>590540.64642507397</v>
      </c>
      <c r="G32" s="1">
        <v>110503.428011753</v>
      </c>
      <c r="H32" s="1">
        <v>31783.5455435847</v>
      </c>
      <c r="I32" s="1">
        <v>825943.19294809003</v>
      </c>
      <c r="J32" s="1">
        <v>10.789</v>
      </c>
      <c r="K32" s="1">
        <v>519.44500000000005</v>
      </c>
      <c r="L32" s="1">
        <v>54.302999999999997</v>
      </c>
      <c r="M32" s="1">
        <v>1689.2819999999999</v>
      </c>
      <c r="N32" s="1">
        <v>1.5269999999999999</v>
      </c>
      <c r="O32" s="1">
        <v>91.768000000000001</v>
      </c>
      <c r="P32" s="1">
        <v>47.887</v>
      </c>
      <c r="Q32" s="1">
        <v>361.91</v>
      </c>
      <c r="R32" s="1">
        <v>167</v>
      </c>
      <c r="S32" s="1">
        <v>47</v>
      </c>
      <c r="T32" s="1">
        <v>10017.65165</v>
      </c>
      <c r="U32" s="1">
        <v>7388.7659700000004</v>
      </c>
      <c r="V32" s="1">
        <v>17406.41762</v>
      </c>
      <c r="W32" s="1">
        <v>4561</v>
      </c>
      <c r="X32" s="1">
        <v>238</v>
      </c>
      <c r="Y32" s="1">
        <v>484.62188498228602</v>
      </c>
      <c r="Z32" s="1">
        <v>897.244573840111</v>
      </c>
      <c r="AA32" s="1">
        <v>1706.9681400397101</v>
      </c>
      <c r="AB32" s="1">
        <v>6982.50251850312</v>
      </c>
      <c r="AD32" s="1">
        <v>33926.604503992901</v>
      </c>
      <c r="AE32" s="1">
        <v>6348.4302413142505</v>
      </c>
      <c r="AF32" s="1">
        <v>1825.9670793527</v>
      </c>
      <c r="AG32" s="1">
        <v>2.0770245165513201</v>
      </c>
      <c r="AH32" s="1">
        <v>1.6639787289687</v>
      </c>
      <c r="AI32" s="1">
        <v>3.2145609791615599</v>
      </c>
      <c r="AJ32" s="1">
        <v>5.2181539136154296</v>
      </c>
      <c r="AK32" s="1">
        <v>1.66705736867981</v>
      </c>
      <c r="AL32" s="1">
        <v>0.63610080750737297</v>
      </c>
      <c r="AM32" s="1">
        <v>11.304429842626099</v>
      </c>
      <c r="AN32" s="2">
        <v>0.93581150557485504</v>
      </c>
      <c r="AO32">
        <v>1.2283308381548801</v>
      </c>
      <c r="AP32" s="3">
        <f>AVERAGE(AN32:AO32)</f>
        <v>1.0820711718648677</v>
      </c>
      <c r="AQ32" s="3">
        <f>RANK(AP32,$AP$2:$AP$51,1)</f>
        <v>31</v>
      </c>
      <c r="AS32" s="1">
        <v>35</v>
      </c>
      <c r="AT32" s="1">
        <v>15</v>
      </c>
      <c r="AU32" s="1">
        <v>11</v>
      </c>
      <c r="AV32" s="1">
        <v>32</v>
      </c>
      <c r="AW32" s="1">
        <v>11</v>
      </c>
      <c r="AX32" s="1">
        <v>46</v>
      </c>
      <c r="AY32" s="1">
        <v>19</v>
      </c>
      <c r="AZ32" s="1">
        <v>29</v>
      </c>
      <c r="BA32" s="1">
        <v>5</v>
      </c>
      <c r="BB32" s="1">
        <v>7</v>
      </c>
      <c r="BC32" s="1">
        <v>27</v>
      </c>
      <c r="BD32">
        <v>35</v>
      </c>
      <c r="BE32">
        <v>31</v>
      </c>
      <c r="BF32">
        <v>25</v>
      </c>
    </row>
    <row r="33" spans="1:58" x14ac:dyDescent="0.2">
      <c r="A33" s="1">
        <v>13</v>
      </c>
      <c r="B33" s="1" t="s">
        <v>61</v>
      </c>
      <c r="C33" s="1">
        <v>15894.14</v>
      </c>
      <c r="D33" s="1">
        <v>42168.83</v>
      </c>
      <c r="E33" s="1">
        <v>2.6531054841595698</v>
      </c>
      <c r="F33" s="1">
        <v>3336188.7592789</v>
      </c>
      <c r="G33" s="1">
        <v>984844.11452810199</v>
      </c>
      <c r="H33" s="1">
        <v>189940.615058325</v>
      </c>
      <c r="I33" s="1">
        <v>5521698.8335100701</v>
      </c>
      <c r="J33" s="1">
        <v>16.62</v>
      </c>
      <c r="K33" s="1">
        <v>1243.3399999999999</v>
      </c>
      <c r="L33" s="1">
        <v>57.83</v>
      </c>
      <c r="M33" s="1">
        <v>2360.12</v>
      </c>
      <c r="N33" s="1">
        <v>45.38</v>
      </c>
      <c r="O33" s="1">
        <v>941.7</v>
      </c>
      <c r="P33" s="1">
        <v>331.41</v>
      </c>
      <c r="Q33" s="1">
        <v>2887.21</v>
      </c>
      <c r="R33" s="1">
        <v>355</v>
      </c>
      <c r="S33" s="1">
        <v>810</v>
      </c>
      <c r="T33" s="1">
        <v>23325.895079999998</v>
      </c>
      <c r="U33" s="1">
        <v>70794.702279999998</v>
      </c>
      <c r="V33" s="1">
        <v>94120.59736</v>
      </c>
      <c r="W33" s="1">
        <v>26846</v>
      </c>
      <c r="X33" s="1">
        <v>2405</v>
      </c>
      <c r="Y33" s="1">
        <v>4234.9455240040998</v>
      </c>
      <c r="Z33" s="1">
        <v>9900.2445222687893</v>
      </c>
      <c r="AA33" s="1">
        <v>102507.809432603</v>
      </c>
      <c r="AB33" s="1">
        <v>76213.247783572195</v>
      </c>
      <c r="AD33" s="1">
        <v>35445.894446657403</v>
      </c>
      <c r="AE33" s="1">
        <v>10463.640713638801</v>
      </c>
      <c r="AF33" s="1">
        <v>2018.05577510122</v>
      </c>
      <c r="AG33" s="1">
        <v>1.3367220551096199</v>
      </c>
      <c r="AH33" s="1">
        <v>4.8189444621429303</v>
      </c>
      <c r="AI33" s="1">
        <v>2.4502991373320002</v>
      </c>
      <c r="AJ33" s="1">
        <v>8.9585040601951906</v>
      </c>
      <c r="AK33" s="1">
        <v>1.52191373056626</v>
      </c>
      <c r="AL33" s="1">
        <v>1.1441534096666901</v>
      </c>
      <c r="AM33" s="1">
        <v>31.903342757528101</v>
      </c>
      <c r="AN33" s="2">
        <v>1.1243054552540399</v>
      </c>
      <c r="AO33">
        <v>1.07620181934722</v>
      </c>
      <c r="AP33" s="3">
        <f>AVERAGE(AN33:AO33)</f>
        <v>1.10025363730063</v>
      </c>
      <c r="AQ33" s="3">
        <f>RANK(AP33,$AP$2:$AP$51,1)</f>
        <v>32</v>
      </c>
      <c r="AS33" s="1">
        <v>36</v>
      </c>
      <c r="AT33" s="1">
        <v>32</v>
      </c>
      <c r="AU33" s="1">
        <v>14</v>
      </c>
      <c r="AV33" s="1">
        <v>26</v>
      </c>
      <c r="AW33" s="1">
        <v>34</v>
      </c>
      <c r="AX33" s="1">
        <v>44</v>
      </c>
      <c r="AY33" s="1">
        <v>38</v>
      </c>
      <c r="AZ33" s="1">
        <v>19</v>
      </c>
      <c r="BA33" s="1">
        <v>36</v>
      </c>
      <c r="BB33" s="1">
        <v>45</v>
      </c>
      <c r="BC33" s="1">
        <v>35</v>
      </c>
      <c r="BD33">
        <v>30</v>
      </c>
      <c r="BE33">
        <v>32</v>
      </c>
      <c r="BF33">
        <v>37</v>
      </c>
    </row>
    <row r="34" spans="1:58" x14ac:dyDescent="0.2">
      <c r="A34" s="1">
        <v>15</v>
      </c>
      <c r="B34" s="1" t="s">
        <v>63</v>
      </c>
      <c r="C34" s="1">
        <v>8904.5740000000005</v>
      </c>
      <c r="D34" s="1">
        <v>22917.695</v>
      </c>
      <c r="E34" s="1">
        <v>2.5736992022302201</v>
      </c>
      <c r="F34" s="1">
        <v>1125033.37041157</v>
      </c>
      <c r="G34" s="1">
        <v>252557.28587319201</v>
      </c>
      <c r="H34" s="1">
        <v>76692.9922135706</v>
      </c>
      <c r="I34" s="1">
        <v>1615992.2135706299</v>
      </c>
      <c r="J34" s="1">
        <v>9.4689999999999994</v>
      </c>
      <c r="K34" s="1">
        <v>610.41300000000001</v>
      </c>
      <c r="L34" s="1">
        <v>62.225000000000001</v>
      </c>
      <c r="M34" s="1">
        <v>3387.07</v>
      </c>
      <c r="N34" s="1">
        <v>8.375</v>
      </c>
      <c r="O34" s="1">
        <v>177.535</v>
      </c>
      <c r="P34" s="1">
        <v>94.381</v>
      </c>
      <c r="Q34" s="1">
        <v>896.72</v>
      </c>
      <c r="R34" s="1">
        <v>239</v>
      </c>
      <c r="S34" s="1">
        <v>98</v>
      </c>
      <c r="T34" s="1">
        <v>17877.28083</v>
      </c>
      <c r="U34" s="1">
        <v>11874.215910000001</v>
      </c>
      <c r="V34" s="1">
        <v>29751.496739999999</v>
      </c>
      <c r="W34" s="1">
        <v>23870</v>
      </c>
      <c r="X34" s="1">
        <v>4504</v>
      </c>
      <c r="Y34" s="1">
        <v>757.55105022701298</v>
      </c>
      <c r="Z34" s="1">
        <v>1346.12470766348</v>
      </c>
      <c r="AA34" s="1">
        <v>-114.683377259708</v>
      </c>
      <c r="AB34" s="1">
        <v>10277.568828363201</v>
      </c>
      <c r="AD34" s="1">
        <v>37814.345282971699</v>
      </c>
      <c r="AE34" s="1">
        <v>8488.8934523296302</v>
      </c>
      <c r="AF34" s="1">
        <v>2577.7860147270899</v>
      </c>
      <c r="AG34" s="1">
        <v>1.55124481293813</v>
      </c>
      <c r="AH34" s="1">
        <v>4.7173796716140499</v>
      </c>
      <c r="AI34" s="1">
        <v>1.8371335697225</v>
      </c>
      <c r="AJ34" s="1">
        <v>18.8688730624215</v>
      </c>
      <c r="AK34" s="1">
        <v>1.3368923510947599</v>
      </c>
      <c r="AL34" s="1">
        <v>0.82531765248994904</v>
      </c>
      <c r="AM34" s="1">
        <v>7.4835436837741804</v>
      </c>
      <c r="AN34" s="2">
        <v>1.0930006619449899</v>
      </c>
      <c r="AO34">
        <v>1.15715934711454</v>
      </c>
      <c r="AP34" s="3">
        <f>AVERAGE(AN34:AO34)</f>
        <v>1.1250800045297651</v>
      </c>
      <c r="AQ34" s="3">
        <f>RANK(AP34,$AP$2:$AP$51,1)</f>
        <v>33</v>
      </c>
      <c r="AS34" s="1">
        <v>39</v>
      </c>
      <c r="AT34" s="1">
        <v>25</v>
      </c>
      <c r="AU34" s="1">
        <v>22</v>
      </c>
      <c r="AV34" s="1">
        <v>30</v>
      </c>
      <c r="AW34" s="1">
        <v>33</v>
      </c>
      <c r="AX34" s="1">
        <v>39</v>
      </c>
      <c r="AY34" s="1">
        <v>49</v>
      </c>
      <c r="AZ34" s="1">
        <v>13</v>
      </c>
      <c r="BA34" s="1">
        <v>14</v>
      </c>
      <c r="BB34" s="1">
        <v>2</v>
      </c>
      <c r="BC34" s="1">
        <v>32</v>
      </c>
      <c r="BD34">
        <v>32</v>
      </c>
      <c r="BE34">
        <v>33</v>
      </c>
      <c r="BF34">
        <v>27</v>
      </c>
    </row>
    <row r="35" spans="1:58" x14ac:dyDescent="0.2">
      <c r="A35" s="1">
        <v>19</v>
      </c>
      <c r="B35" s="1" t="s">
        <v>67</v>
      </c>
      <c r="C35" s="1">
        <v>8340.1939999999995</v>
      </c>
      <c r="D35" s="1">
        <v>17467.309000000001</v>
      </c>
      <c r="E35" s="1">
        <v>2.0943528411929</v>
      </c>
      <c r="F35" s="1">
        <v>422860.869565217</v>
      </c>
      <c r="G35" s="1">
        <v>218528.69565217401</v>
      </c>
      <c r="H35" s="1">
        <v>19825.217391304301</v>
      </c>
      <c r="I35" s="1">
        <v>747822.60869565199</v>
      </c>
      <c r="J35" s="1">
        <v>3.88</v>
      </c>
      <c r="K35" s="1">
        <v>279.27999999999997</v>
      </c>
      <c r="L35" s="1">
        <v>30.51</v>
      </c>
      <c r="M35" s="1">
        <v>791.89599999999996</v>
      </c>
      <c r="N35" s="1">
        <v>1.24</v>
      </c>
      <c r="O35" s="1">
        <v>86.99</v>
      </c>
      <c r="P35" s="1">
        <v>13.18</v>
      </c>
      <c r="Q35" s="1">
        <v>120.084</v>
      </c>
      <c r="R35" s="1">
        <v>131</v>
      </c>
      <c r="S35" s="1">
        <v>32</v>
      </c>
      <c r="T35" s="1">
        <v>9104.3374199999998</v>
      </c>
      <c r="U35" s="1">
        <v>3982.0798399999999</v>
      </c>
      <c r="V35" s="1">
        <v>13086.41725</v>
      </c>
      <c r="W35" s="1">
        <v>2485</v>
      </c>
      <c r="X35" s="1">
        <v>314</v>
      </c>
      <c r="Y35" s="1">
        <v>197.13183519010701</v>
      </c>
      <c r="Z35" s="1">
        <v>353.22005154690902</v>
      </c>
      <c r="AA35" s="1">
        <v>-17.112301748729902</v>
      </c>
      <c r="AB35" s="1">
        <v>5240.41787130991</v>
      </c>
      <c r="AD35" s="1">
        <v>32312.959420976498</v>
      </c>
      <c r="AE35" s="1">
        <v>16698.894088232901</v>
      </c>
      <c r="AF35" s="1">
        <v>1514.9461470292299</v>
      </c>
      <c r="AG35" s="1">
        <v>1.3892867373245501</v>
      </c>
      <c r="AH35" s="1">
        <v>1.4254512012875</v>
      </c>
      <c r="AI35" s="1">
        <v>3.8527786477012098</v>
      </c>
      <c r="AJ35" s="1">
        <v>12.635814889336</v>
      </c>
      <c r="AK35" s="1">
        <v>1.43887461499642</v>
      </c>
      <c r="AL35" s="1">
        <v>0.80360016086468</v>
      </c>
      <c r="AM35" s="1">
        <v>14.749321543684699</v>
      </c>
      <c r="AN35" s="2">
        <v>1.1742848550979701</v>
      </c>
      <c r="AO35">
        <v>1.2115697137941299</v>
      </c>
      <c r="AP35" s="3">
        <f>AVERAGE(AN35:AO35)</f>
        <v>1.1929272844460499</v>
      </c>
      <c r="AQ35" s="3">
        <f>RANK(AP35,$AP$2:$AP$51,1)</f>
        <v>34</v>
      </c>
      <c r="AS35" s="1">
        <v>34</v>
      </c>
      <c r="AT35" s="1">
        <v>43</v>
      </c>
      <c r="AU35" s="1">
        <v>7</v>
      </c>
      <c r="AV35" s="1">
        <v>27</v>
      </c>
      <c r="AW35" s="1">
        <v>7</v>
      </c>
      <c r="AX35" s="1">
        <v>47</v>
      </c>
      <c r="AY35" s="1">
        <v>44</v>
      </c>
      <c r="AZ35" s="1">
        <v>15</v>
      </c>
      <c r="BA35" s="1">
        <v>12</v>
      </c>
      <c r="BB35" s="1">
        <v>9</v>
      </c>
      <c r="BC35" s="1">
        <v>37</v>
      </c>
      <c r="BD35">
        <v>34</v>
      </c>
      <c r="BE35">
        <v>34</v>
      </c>
      <c r="BF35">
        <v>23</v>
      </c>
    </row>
    <row r="36" spans="1:58" x14ac:dyDescent="0.2">
      <c r="A36" s="1">
        <v>31</v>
      </c>
      <c r="B36" s="1" t="s">
        <v>79</v>
      </c>
      <c r="C36" s="1">
        <v>11920.879000000001</v>
      </c>
      <c r="D36" s="1">
        <v>29429.544999999998</v>
      </c>
      <c r="E36" s="1">
        <v>2.46873951157461</v>
      </c>
      <c r="F36" s="1">
        <v>478453.84615384601</v>
      </c>
      <c r="G36" s="1">
        <v>57953.846153846098</v>
      </c>
      <c r="H36" s="1">
        <v>345139.56043955998</v>
      </c>
      <c r="I36" s="1">
        <v>1071447.25274725</v>
      </c>
      <c r="J36" s="1">
        <v>23.696000000000002</v>
      </c>
      <c r="K36" s="1">
        <v>843.33600000000001</v>
      </c>
      <c r="L36" s="1">
        <v>24.221</v>
      </c>
      <c r="M36" s="1">
        <v>1915.7339999999999</v>
      </c>
      <c r="N36" s="1">
        <v>5.577</v>
      </c>
      <c r="O36" s="1">
        <v>156.08699999999999</v>
      </c>
      <c r="P36" s="1">
        <v>99.314999999999998</v>
      </c>
      <c r="Q36" s="1">
        <v>700.47900000000004</v>
      </c>
      <c r="R36" s="1">
        <v>211</v>
      </c>
      <c r="S36" s="1">
        <v>184</v>
      </c>
      <c r="T36" s="1">
        <v>14210.554190000001</v>
      </c>
      <c r="U36" s="1">
        <v>9545.8814199999997</v>
      </c>
      <c r="V36" s="1">
        <v>23756.435600000001</v>
      </c>
      <c r="W36" s="1">
        <v>4025</v>
      </c>
      <c r="X36" s="1">
        <v>208</v>
      </c>
      <c r="Y36" s="1">
        <v>601.52780101582596</v>
      </c>
      <c r="Z36" s="1">
        <v>1148.3885365942201</v>
      </c>
      <c r="AA36" s="1">
        <v>6483.8186142901995</v>
      </c>
      <c r="AB36" s="1">
        <v>7709.3466357499101</v>
      </c>
      <c r="AD36" s="1">
        <v>20139.967721161302</v>
      </c>
      <c r="AE36" s="1">
        <v>2439.5009053397798</v>
      </c>
      <c r="AF36" s="1">
        <v>14528.255258948</v>
      </c>
      <c r="AG36" s="1">
        <v>2.80979348681901</v>
      </c>
      <c r="AH36" s="1">
        <v>3.5730073612792901</v>
      </c>
      <c r="AI36" s="1">
        <v>1.2643195767262101</v>
      </c>
      <c r="AJ36" s="1">
        <v>5.1677018633540399</v>
      </c>
      <c r="AK36" s="1">
        <v>1.48481190232877</v>
      </c>
      <c r="AL36" s="1">
        <v>1.9275328479829399</v>
      </c>
      <c r="AM36" s="1">
        <v>17.492104308996598</v>
      </c>
      <c r="AN36" s="2">
        <v>1.24892365258428</v>
      </c>
      <c r="AO36">
        <v>1.2883624136744101</v>
      </c>
      <c r="AP36" s="3">
        <f>AVERAGE(AN36:AO36)</f>
        <v>1.268643033129345</v>
      </c>
      <c r="AQ36" s="3">
        <f>RANK(AP36,$AP$2:$AP$51,1)</f>
        <v>35</v>
      </c>
      <c r="AS36" s="1">
        <v>11</v>
      </c>
      <c r="AT36" s="1">
        <v>2</v>
      </c>
      <c r="AU36" s="1">
        <v>49</v>
      </c>
      <c r="AV36" s="1">
        <v>40</v>
      </c>
      <c r="AW36" s="1">
        <v>28</v>
      </c>
      <c r="AX36" s="1">
        <v>31</v>
      </c>
      <c r="AY36" s="1">
        <v>18</v>
      </c>
      <c r="AZ36" s="1">
        <v>16</v>
      </c>
      <c r="BA36" s="1">
        <v>50</v>
      </c>
      <c r="BB36" s="1">
        <v>16</v>
      </c>
      <c r="BC36" s="1">
        <v>41</v>
      </c>
      <c r="BD36">
        <v>39</v>
      </c>
      <c r="BE36">
        <v>35</v>
      </c>
      <c r="BF36">
        <v>26</v>
      </c>
    </row>
    <row r="37" spans="1:58" x14ac:dyDescent="0.2">
      <c r="A37" s="1">
        <v>18</v>
      </c>
      <c r="B37" s="1" t="s">
        <v>66</v>
      </c>
      <c r="C37" s="1">
        <v>17104.45</v>
      </c>
      <c r="D37" s="1">
        <v>40153.938999999998</v>
      </c>
      <c r="E37" s="1">
        <v>2.3475726492228599</v>
      </c>
      <c r="F37" s="1">
        <v>953490.32258064498</v>
      </c>
      <c r="G37" s="1">
        <v>466575.26881720399</v>
      </c>
      <c r="H37" s="1">
        <v>57823.655913978502</v>
      </c>
      <c r="I37" s="1">
        <v>1754713.97849462</v>
      </c>
      <c r="J37" s="1">
        <v>16.143999999999998</v>
      </c>
      <c r="K37" s="1">
        <v>526.57899999999995</v>
      </c>
      <c r="L37" s="1">
        <v>23.449000000000002</v>
      </c>
      <c r="M37" s="1">
        <v>1007.778</v>
      </c>
      <c r="N37" s="1">
        <v>49.631</v>
      </c>
      <c r="O37" s="1">
        <v>414.04</v>
      </c>
      <c r="P37" s="1">
        <v>151.91</v>
      </c>
      <c r="Q37" s="1">
        <v>956.11199999999997</v>
      </c>
      <c r="R37" s="1">
        <v>382</v>
      </c>
      <c r="S37" s="1">
        <v>442</v>
      </c>
      <c r="T37" s="1">
        <v>18970.562610000001</v>
      </c>
      <c r="U37" s="1">
        <v>29403.543819999999</v>
      </c>
      <c r="V37" s="1">
        <v>48374.10643</v>
      </c>
      <c r="W37" s="1">
        <v>12782</v>
      </c>
      <c r="X37" s="1">
        <v>1631</v>
      </c>
      <c r="Y37" s="1">
        <v>1627</v>
      </c>
      <c r="Z37" s="1">
        <v>2974</v>
      </c>
      <c r="AA37" s="1">
        <v>6194.9926166465102</v>
      </c>
      <c r="AB37" s="1">
        <v>47118.007383353499</v>
      </c>
      <c r="AD37" s="1">
        <v>19710.758357064398</v>
      </c>
      <c r="AE37" s="1">
        <v>9645.1449597805895</v>
      </c>
      <c r="AF37" s="1">
        <v>1195.3431325424599</v>
      </c>
      <c r="AG37" s="1">
        <v>3.0658267800273098</v>
      </c>
      <c r="AH37" s="1">
        <v>11.987006086368501</v>
      </c>
      <c r="AI37" s="1">
        <v>2.3268021330094499</v>
      </c>
      <c r="AJ37" s="1">
        <v>12.7601314348302</v>
      </c>
      <c r="AK37" s="1">
        <v>2.01364613086717</v>
      </c>
      <c r="AL37" s="1">
        <v>1.50322016524878</v>
      </c>
      <c r="AM37" s="1">
        <v>19.650928008861701</v>
      </c>
      <c r="AN37" s="2">
        <v>1.3239600233428299</v>
      </c>
      <c r="AO37">
        <v>1.25747934066861</v>
      </c>
      <c r="AP37" s="3">
        <f>AVERAGE(AN37:AO37)</f>
        <v>1.2907196820057201</v>
      </c>
      <c r="AQ37" s="3">
        <f>RANK(AP37,$AP$2:$AP$51,1)</f>
        <v>36</v>
      </c>
      <c r="AS37" s="1">
        <v>9</v>
      </c>
      <c r="AT37" s="1">
        <v>28</v>
      </c>
      <c r="AU37" s="1">
        <v>4</v>
      </c>
      <c r="AV37" s="1">
        <v>43</v>
      </c>
      <c r="AW37" s="1">
        <v>49</v>
      </c>
      <c r="AX37" s="1">
        <v>43</v>
      </c>
      <c r="AY37" s="1">
        <v>45</v>
      </c>
      <c r="AZ37" s="1">
        <v>37</v>
      </c>
      <c r="BA37" s="1">
        <v>49</v>
      </c>
      <c r="BB37" s="1">
        <v>24</v>
      </c>
      <c r="BC37" s="1">
        <v>43</v>
      </c>
      <c r="BD37">
        <v>37</v>
      </c>
      <c r="BE37">
        <v>36</v>
      </c>
      <c r="BF37">
        <v>36</v>
      </c>
    </row>
    <row r="38" spans="1:58" x14ac:dyDescent="0.2">
      <c r="A38" s="1">
        <v>47</v>
      </c>
      <c r="B38" s="1" t="s">
        <v>95</v>
      </c>
      <c r="C38" s="1">
        <v>7052.28</v>
      </c>
      <c r="D38" s="1">
        <v>18449.7</v>
      </c>
      <c r="E38" s="1">
        <v>2.6161326549711599</v>
      </c>
      <c r="F38" s="1">
        <v>1619324.37275986</v>
      </c>
      <c r="G38" s="1">
        <v>939660.39426523296</v>
      </c>
      <c r="H38" s="1">
        <v>268086.91756272397</v>
      </c>
      <c r="I38" s="1">
        <v>3352580.6451612902</v>
      </c>
      <c r="J38" s="1">
        <v>17.600000000000001</v>
      </c>
      <c r="K38" s="1">
        <v>428.99</v>
      </c>
      <c r="L38" s="1">
        <v>15.64</v>
      </c>
      <c r="M38" s="1">
        <v>1312.376</v>
      </c>
      <c r="N38" s="1">
        <v>9.7799999999999994</v>
      </c>
      <c r="O38" s="1">
        <v>334.59</v>
      </c>
      <c r="P38" s="1">
        <v>246.55699999999999</v>
      </c>
      <c r="Q38" s="1">
        <v>1408.6489999999999</v>
      </c>
      <c r="R38" s="1">
        <v>238</v>
      </c>
      <c r="S38" s="1">
        <v>315</v>
      </c>
      <c r="T38" s="1">
        <v>15493.03656</v>
      </c>
      <c r="U38" s="1">
        <v>38165.204740000001</v>
      </c>
      <c r="V38" s="1">
        <v>53658.241300000002</v>
      </c>
      <c r="W38" s="1">
        <v>8358</v>
      </c>
      <c r="X38" s="1">
        <v>401</v>
      </c>
      <c r="Y38" s="1">
        <v>2764.2902729761699</v>
      </c>
      <c r="Z38" s="1">
        <v>5715.2695973217697</v>
      </c>
      <c r="AA38" s="1">
        <v>40403.959394685196</v>
      </c>
      <c r="AB38" s="1">
        <v>55058.238118059002</v>
      </c>
      <c r="AD38" s="1">
        <v>30178.483929548001</v>
      </c>
      <c r="AE38" s="1">
        <v>17511.949171267999</v>
      </c>
      <c r="AF38" s="1">
        <v>4996.1927761267098</v>
      </c>
      <c r="AG38" s="1">
        <v>4.10265973565817</v>
      </c>
      <c r="AH38" s="1">
        <v>2.92298036402762</v>
      </c>
      <c r="AI38" s="1">
        <v>1.19173163788426</v>
      </c>
      <c r="AJ38" s="1">
        <v>4.79779851639148</v>
      </c>
      <c r="AK38" s="1">
        <v>1.53617400358087</v>
      </c>
      <c r="AL38" s="1">
        <v>0.82535912527112998</v>
      </c>
      <c r="AM38" s="1">
        <v>24.249928288271398</v>
      </c>
      <c r="AN38" s="2">
        <v>1.1345201688598301</v>
      </c>
      <c r="AO38">
        <v>1.4636519582999299</v>
      </c>
      <c r="AP38" s="3">
        <f>AVERAGE(AN38:AO38)</f>
        <v>1.29908606357988</v>
      </c>
      <c r="AQ38" s="3">
        <f>RANK(AP38,$AP$2:$AP$51,1)</f>
        <v>37</v>
      </c>
      <c r="AS38" s="1">
        <v>31</v>
      </c>
      <c r="AT38" s="1">
        <v>44</v>
      </c>
      <c r="AU38" s="1">
        <v>38</v>
      </c>
      <c r="AV38" s="1">
        <v>45</v>
      </c>
      <c r="AW38" s="1">
        <v>22</v>
      </c>
      <c r="AX38" s="1">
        <v>30</v>
      </c>
      <c r="AY38" s="1">
        <v>15</v>
      </c>
      <c r="AZ38" s="1">
        <v>22</v>
      </c>
      <c r="BA38" s="1">
        <v>15</v>
      </c>
      <c r="BB38" s="1">
        <v>35</v>
      </c>
      <c r="BC38" s="1">
        <v>36</v>
      </c>
      <c r="BD38">
        <v>45</v>
      </c>
      <c r="BE38">
        <v>37</v>
      </c>
      <c r="BF38">
        <v>42</v>
      </c>
    </row>
    <row r="39" spans="1:58" x14ac:dyDescent="0.2">
      <c r="A39" s="1">
        <v>41</v>
      </c>
      <c r="B39" s="1" t="s">
        <v>89</v>
      </c>
      <c r="C39" s="1">
        <v>7750.9849999999997</v>
      </c>
      <c r="D39" s="1">
        <v>17955.263999999999</v>
      </c>
      <c r="E39" s="1">
        <v>2.3165138366285101</v>
      </c>
      <c r="F39" s="1">
        <v>243471.28712871301</v>
      </c>
      <c r="G39" s="1">
        <v>97625.742574257398</v>
      </c>
      <c r="H39" s="1">
        <v>112464.356435644</v>
      </c>
      <c r="I39" s="1">
        <v>491142.57425742602</v>
      </c>
      <c r="J39" s="1">
        <v>2.585</v>
      </c>
      <c r="K39" s="1">
        <v>591.03200000000004</v>
      </c>
      <c r="L39" s="1">
        <v>17.774999999999999</v>
      </c>
      <c r="M39" s="1">
        <v>2591.0210000000002</v>
      </c>
      <c r="N39" s="1">
        <v>1</v>
      </c>
      <c r="O39" s="1">
        <v>87.748999999999995</v>
      </c>
      <c r="P39" s="1">
        <v>9.3330000000000002</v>
      </c>
      <c r="Q39" s="1">
        <v>135.64400000000001</v>
      </c>
      <c r="R39" s="1">
        <v>109</v>
      </c>
      <c r="S39" s="1">
        <v>32</v>
      </c>
      <c r="T39" s="1">
        <v>6839.0067399999998</v>
      </c>
      <c r="U39" s="1">
        <v>2903.5011399999999</v>
      </c>
      <c r="V39" s="1">
        <v>9742.5078699999995</v>
      </c>
      <c r="W39" s="1">
        <v>5886</v>
      </c>
      <c r="X39" s="1">
        <v>1018</v>
      </c>
      <c r="Y39" s="1">
        <v>161.51051057992399</v>
      </c>
      <c r="Z39" s="1">
        <v>285.34619005924498</v>
      </c>
      <c r="AA39" s="1">
        <v>-273.660827638527</v>
      </c>
      <c r="AB39" s="1">
        <v>3281.7502146449001</v>
      </c>
      <c r="AD39" s="1">
        <v>24990.617444449901</v>
      </c>
      <c r="AE39" s="1">
        <v>10020.596737198999</v>
      </c>
      <c r="AF39" s="1">
        <v>11543.676221391999</v>
      </c>
      <c r="AG39" s="1">
        <v>0.43737056538393898</v>
      </c>
      <c r="AH39" s="1">
        <v>1.1396141266567099</v>
      </c>
      <c r="AI39" s="1">
        <v>0.68602300019953499</v>
      </c>
      <c r="AJ39" s="1">
        <v>17.2952769283044</v>
      </c>
      <c r="AK39" s="1">
        <v>1.59379869246919</v>
      </c>
      <c r="AL39" s="1">
        <v>1.1021177005634</v>
      </c>
      <c r="AM39" s="1">
        <v>9.8065587994414507</v>
      </c>
      <c r="AN39" s="2">
        <v>1.12076280169364</v>
      </c>
      <c r="AO39">
        <v>1.49679252879316</v>
      </c>
      <c r="AP39" s="3">
        <f>AVERAGE(AN39:AO39)</f>
        <v>1.3087776652434</v>
      </c>
      <c r="AQ39" s="3">
        <f>RANK(AP39,$AP$2:$AP$51,1)</f>
        <v>38</v>
      </c>
      <c r="AS39" s="1">
        <v>23</v>
      </c>
      <c r="AT39" s="1">
        <v>30</v>
      </c>
      <c r="AU39" s="1">
        <v>47</v>
      </c>
      <c r="AV39" s="1">
        <v>8</v>
      </c>
      <c r="AW39" s="1">
        <v>4</v>
      </c>
      <c r="AX39" s="1">
        <v>18</v>
      </c>
      <c r="AY39" s="1">
        <v>47</v>
      </c>
      <c r="AZ39" s="1">
        <v>27</v>
      </c>
      <c r="BA39" s="1">
        <v>31</v>
      </c>
      <c r="BB39" s="1">
        <v>5</v>
      </c>
      <c r="BC39" s="1">
        <v>34</v>
      </c>
      <c r="BD39">
        <v>46</v>
      </c>
      <c r="BE39">
        <v>38</v>
      </c>
      <c r="BF39">
        <v>12</v>
      </c>
    </row>
    <row r="40" spans="1:58" x14ac:dyDescent="0.2">
      <c r="A40" s="1">
        <v>32</v>
      </c>
      <c r="B40" s="1" t="s">
        <v>80</v>
      </c>
      <c r="C40" s="1">
        <v>15095.98</v>
      </c>
      <c r="D40" s="1">
        <v>38156.800000000003</v>
      </c>
      <c r="E40" s="1">
        <v>2.5276133116233601</v>
      </c>
      <c r="F40" s="1">
        <v>2657206.4777327902</v>
      </c>
      <c r="G40" s="1">
        <v>1295917.67881242</v>
      </c>
      <c r="H40" s="1">
        <v>313664.64237516897</v>
      </c>
      <c r="I40" s="1">
        <v>9653443.9946018904</v>
      </c>
      <c r="J40" s="1">
        <v>21.81</v>
      </c>
      <c r="K40" s="1">
        <v>797.93</v>
      </c>
      <c r="L40" s="1">
        <v>26.25</v>
      </c>
      <c r="M40" s="1">
        <v>2071.8000000000002</v>
      </c>
      <c r="N40" s="1">
        <v>86.62</v>
      </c>
      <c r="O40" s="1">
        <v>922.53</v>
      </c>
      <c r="P40" s="1">
        <v>731.15</v>
      </c>
      <c r="Q40" s="1">
        <v>3070.69</v>
      </c>
      <c r="R40" s="1">
        <v>287</v>
      </c>
      <c r="S40" s="1">
        <v>759</v>
      </c>
      <c r="T40" s="1">
        <v>21922.332969999999</v>
      </c>
      <c r="U40" s="1">
        <v>80554.541570000001</v>
      </c>
      <c r="V40" s="1">
        <v>102476.87454</v>
      </c>
      <c r="W40" s="1">
        <v>17555</v>
      </c>
      <c r="X40" s="1">
        <v>1672</v>
      </c>
      <c r="Y40" s="1">
        <v>4965.9248600946603</v>
      </c>
      <c r="Z40" s="1">
        <v>13443.273898327399</v>
      </c>
      <c r="AA40" s="1">
        <v>164427.42822122999</v>
      </c>
      <c r="AB40" s="1">
        <v>141465.16082406399</v>
      </c>
      <c r="AD40" s="1">
        <v>25929.8157721975</v>
      </c>
      <c r="AE40" s="1">
        <v>12645.9524124789</v>
      </c>
      <c r="AF40" s="1">
        <v>3060.83342005845</v>
      </c>
      <c r="AG40" s="1">
        <v>2.7333224718960301</v>
      </c>
      <c r="AH40" s="1">
        <v>9.3893965507896802</v>
      </c>
      <c r="AI40" s="1">
        <v>1.2670141905589301</v>
      </c>
      <c r="AJ40" s="1">
        <v>9.5243520364568504</v>
      </c>
      <c r="AK40" s="1">
        <v>1.30916723321715</v>
      </c>
      <c r="AL40" s="1">
        <v>0.94221875664259902</v>
      </c>
      <c r="AM40" s="1">
        <v>43.634257227307501</v>
      </c>
      <c r="AN40" s="2">
        <v>1.22250308633075</v>
      </c>
      <c r="AO40">
        <v>1.4006728537094799</v>
      </c>
      <c r="AP40" s="3">
        <f>AVERAGE(AN40:AO40)</f>
        <v>1.311587970020115</v>
      </c>
      <c r="AQ40" s="3">
        <f>RANK(AP40,$AP$2:$AP$51,1)</f>
        <v>39</v>
      </c>
      <c r="AS40" s="1">
        <v>26</v>
      </c>
      <c r="AT40" s="1">
        <v>39</v>
      </c>
      <c r="AU40" s="1">
        <v>24</v>
      </c>
      <c r="AV40" s="1">
        <v>38</v>
      </c>
      <c r="AW40" s="1">
        <v>48</v>
      </c>
      <c r="AX40" s="1">
        <v>32</v>
      </c>
      <c r="AY40" s="1">
        <v>40</v>
      </c>
      <c r="AZ40" s="1">
        <v>12</v>
      </c>
      <c r="BA40" s="1">
        <v>22</v>
      </c>
      <c r="BB40" s="1">
        <v>49</v>
      </c>
      <c r="BC40" s="1">
        <v>40</v>
      </c>
      <c r="BD40">
        <v>41</v>
      </c>
      <c r="BE40">
        <v>39</v>
      </c>
      <c r="BF40">
        <v>47</v>
      </c>
    </row>
    <row r="41" spans="1:58" x14ac:dyDescent="0.2">
      <c r="A41" s="1">
        <v>5</v>
      </c>
      <c r="B41" s="1" t="s">
        <v>53</v>
      </c>
      <c r="C41" s="1">
        <v>15022.272000000001</v>
      </c>
      <c r="D41" s="1">
        <v>52003.894</v>
      </c>
      <c r="E41" s="1">
        <v>3.46178620650725</v>
      </c>
      <c r="F41" s="1">
        <v>3174379.7468354399</v>
      </c>
      <c r="G41" s="1">
        <v>1639497.89029536</v>
      </c>
      <c r="H41" s="1">
        <v>408092.123769339</v>
      </c>
      <c r="I41" s="1">
        <v>7587782.7004219396</v>
      </c>
      <c r="J41" s="1">
        <v>54.642000000000003</v>
      </c>
      <c r="K41" s="1">
        <v>1209.0999999999999</v>
      </c>
      <c r="L41" s="1">
        <v>77.248000000000005</v>
      </c>
      <c r="M41" s="1">
        <v>3332.69</v>
      </c>
      <c r="N41" s="1">
        <v>116.589</v>
      </c>
      <c r="O41" s="1">
        <v>1243.1510000000001</v>
      </c>
      <c r="P41" s="1">
        <v>2434.3069999999998</v>
      </c>
      <c r="Q41" s="1">
        <v>6116.8159999999998</v>
      </c>
      <c r="R41" s="1">
        <v>1175</v>
      </c>
      <c r="S41" s="1">
        <v>2666</v>
      </c>
      <c r="T41" s="1">
        <v>55380.943399999996</v>
      </c>
      <c r="U41" s="1">
        <v>244430.73965999999</v>
      </c>
      <c r="V41" s="1">
        <v>299811.68307000003</v>
      </c>
      <c r="W41" s="1">
        <v>25737</v>
      </c>
      <c r="X41" s="1">
        <v>1493</v>
      </c>
      <c r="Y41" s="1">
        <v>17330</v>
      </c>
      <c r="Z41" s="1">
        <v>35687</v>
      </c>
      <c r="AA41" s="1">
        <v>288702.64041028603</v>
      </c>
      <c r="AB41" s="1">
        <v>530521.35958971397</v>
      </c>
      <c r="AD41" s="1">
        <v>10587.912099790599</v>
      </c>
      <c r="AE41" s="1">
        <v>5468.4256247364701</v>
      </c>
      <c r="AF41" s="1">
        <v>1361.1615117548899</v>
      </c>
      <c r="AG41" s="1">
        <v>4.5192291787279801</v>
      </c>
      <c r="AH41" s="1">
        <v>9.3785067139872798</v>
      </c>
      <c r="AI41" s="1">
        <v>2.3178873522589898</v>
      </c>
      <c r="AJ41" s="1">
        <v>5.8009869060107997</v>
      </c>
      <c r="AK41" s="1">
        <v>2.1216684438062501</v>
      </c>
      <c r="AL41" s="1">
        <v>1.0906975136222099</v>
      </c>
      <c r="AM41" s="1">
        <v>31.525080898697901</v>
      </c>
      <c r="AN41" s="2">
        <v>1.1751998336527201</v>
      </c>
      <c r="AO41">
        <v>1.4494696503139</v>
      </c>
      <c r="AP41" s="3">
        <f>AVERAGE(AN41:AO41)</f>
        <v>1.31233474198331</v>
      </c>
      <c r="AQ41" s="3">
        <f>RANK(AP41,$AP$2:$AP$51,1)</f>
        <v>40</v>
      </c>
      <c r="AS41" s="1">
        <v>1</v>
      </c>
      <c r="AT41" s="1">
        <v>10</v>
      </c>
      <c r="AU41" s="1">
        <v>6</v>
      </c>
      <c r="AV41" s="1">
        <v>46</v>
      </c>
      <c r="AW41" s="1">
        <v>47</v>
      </c>
      <c r="AX41" s="1">
        <v>42</v>
      </c>
      <c r="AY41" s="1">
        <v>25</v>
      </c>
      <c r="AZ41" s="1">
        <v>43</v>
      </c>
      <c r="BA41" s="1">
        <v>28</v>
      </c>
      <c r="BB41" s="1">
        <v>44</v>
      </c>
      <c r="BC41" s="1">
        <v>38</v>
      </c>
      <c r="BD41">
        <v>43</v>
      </c>
      <c r="BE41">
        <v>40</v>
      </c>
      <c r="BF41">
        <v>46</v>
      </c>
    </row>
    <row r="42" spans="1:58" x14ac:dyDescent="0.2">
      <c r="A42" s="1">
        <v>30</v>
      </c>
      <c r="B42" s="1" t="s">
        <v>78</v>
      </c>
      <c r="C42" s="1">
        <v>2329.06</v>
      </c>
      <c r="D42" s="1">
        <v>8551.2530000000006</v>
      </c>
      <c r="E42" s="1">
        <v>3.6715468901617001</v>
      </c>
      <c r="F42" s="1">
        <v>2556366.3194444398</v>
      </c>
      <c r="G42" s="1">
        <v>644440.10416666698</v>
      </c>
      <c r="H42" s="1">
        <v>150961.805555556</v>
      </c>
      <c r="I42" s="1">
        <v>8445962.6736111101</v>
      </c>
      <c r="J42" s="1">
        <v>0.57999999999999996</v>
      </c>
      <c r="K42" s="1">
        <v>44.88</v>
      </c>
      <c r="L42" s="1">
        <v>3.61</v>
      </c>
      <c r="M42" s="1">
        <v>159.63999999999999</v>
      </c>
      <c r="N42" s="1">
        <v>36.03</v>
      </c>
      <c r="O42" s="1">
        <v>386.66</v>
      </c>
      <c r="P42" s="1">
        <v>336.2</v>
      </c>
      <c r="Q42" s="1">
        <v>1798.98</v>
      </c>
      <c r="R42" s="1">
        <v>54</v>
      </c>
      <c r="S42" s="1">
        <v>517</v>
      </c>
      <c r="T42" s="1">
        <v>4250.7907299999997</v>
      </c>
      <c r="U42" s="1">
        <v>62090.359219999998</v>
      </c>
      <c r="V42" s="1">
        <v>66341.149959999995</v>
      </c>
      <c r="W42" s="1">
        <v>6798</v>
      </c>
      <c r="X42" s="1">
        <v>482</v>
      </c>
      <c r="Y42" s="1">
        <v>4147.5746472936798</v>
      </c>
      <c r="Z42" s="1">
        <v>12002.626333167</v>
      </c>
      <c r="AA42" s="1">
        <v>153529.28378233599</v>
      </c>
      <c r="AB42" s="1">
        <v>133551.08851306801</v>
      </c>
      <c r="AD42" s="1">
        <v>38533.644969763001</v>
      </c>
      <c r="AE42" s="1">
        <v>9714.0327617960793</v>
      </c>
      <c r="AF42" s="1">
        <v>2275.5379677104902</v>
      </c>
      <c r="AG42" s="1">
        <v>1.29233511586453</v>
      </c>
      <c r="AH42" s="1">
        <v>9.3182641080018591</v>
      </c>
      <c r="AI42" s="1">
        <v>2.26133801052368</v>
      </c>
      <c r="AJ42" s="1">
        <v>7.0903206825536902</v>
      </c>
      <c r="AK42" s="1">
        <v>1.2703518810957799</v>
      </c>
      <c r="AL42" s="1">
        <v>0.83265744713789402</v>
      </c>
      <c r="AM42" s="1">
        <v>48.143463640105097</v>
      </c>
      <c r="AN42" s="2">
        <v>1.20137744455365</v>
      </c>
      <c r="AO42">
        <v>1.4353109384634299</v>
      </c>
      <c r="AP42" s="3">
        <f>AVERAGE(AN42:AO42)</f>
        <v>1.3183441915085399</v>
      </c>
      <c r="AQ42" s="3">
        <f>RANK(AP42,$AP$2:$AP$51,1)</f>
        <v>41</v>
      </c>
      <c r="AS42" s="1">
        <v>40</v>
      </c>
      <c r="AT42" s="1">
        <v>29</v>
      </c>
      <c r="AU42" s="1">
        <v>18</v>
      </c>
      <c r="AV42" s="1">
        <v>24</v>
      </c>
      <c r="AW42" s="1">
        <v>46</v>
      </c>
      <c r="AX42" s="1">
        <v>41</v>
      </c>
      <c r="AY42" s="1">
        <v>31</v>
      </c>
      <c r="AZ42" s="1">
        <v>9</v>
      </c>
      <c r="BA42" s="1">
        <v>16</v>
      </c>
      <c r="BB42" s="1">
        <v>50</v>
      </c>
      <c r="BC42" s="1">
        <v>39</v>
      </c>
      <c r="BD42">
        <v>42</v>
      </c>
      <c r="BE42">
        <v>41</v>
      </c>
      <c r="BF42">
        <v>50</v>
      </c>
    </row>
    <row r="43" spans="1:58" x14ac:dyDescent="0.2">
      <c r="A43" s="1">
        <v>45</v>
      </c>
      <c r="B43" s="1" t="s">
        <v>93</v>
      </c>
      <c r="C43" s="1">
        <v>2628.1689999999999</v>
      </c>
      <c r="D43" s="1">
        <v>5997.8630000000003</v>
      </c>
      <c r="E43" s="1">
        <v>2.2821450979750502</v>
      </c>
      <c r="F43" s="1">
        <v>166592.30769230801</v>
      </c>
      <c r="G43" s="1">
        <v>100258.11965812001</v>
      </c>
      <c r="H43" s="1">
        <v>69436.752136752097</v>
      </c>
      <c r="I43" s="1">
        <v>404393.16239316203</v>
      </c>
      <c r="J43" s="1">
        <v>2.919</v>
      </c>
      <c r="K43" s="1">
        <v>255.28399999999999</v>
      </c>
      <c r="L43" s="1">
        <v>5.9020000000000001</v>
      </c>
      <c r="M43" s="1">
        <v>328.649</v>
      </c>
      <c r="N43" s="1">
        <v>0.88100000000000001</v>
      </c>
      <c r="O43" s="1">
        <v>64.308000000000007</v>
      </c>
      <c r="P43" s="1">
        <v>8.9109999999999996</v>
      </c>
      <c r="Q43" s="1">
        <v>125.40300000000001</v>
      </c>
      <c r="R43" s="1">
        <v>49</v>
      </c>
      <c r="S43" s="1">
        <v>13</v>
      </c>
      <c r="T43" s="1">
        <v>4272.6057000000001</v>
      </c>
      <c r="U43" s="1">
        <v>1734.3694</v>
      </c>
      <c r="V43" s="1">
        <v>6006.9750999999997</v>
      </c>
      <c r="W43" s="1">
        <v>2836</v>
      </c>
      <c r="X43" s="1">
        <v>68</v>
      </c>
      <c r="Y43" s="1">
        <v>65</v>
      </c>
      <c r="Z43" s="1">
        <v>113</v>
      </c>
      <c r="AA43" s="1">
        <v>-143.541666666667</v>
      </c>
      <c r="AB43" s="1">
        <v>2396.5416666666702</v>
      </c>
      <c r="AD43" s="1">
        <v>27733.144372832099</v>
      </c>
      <c r="AE43" s="1">
        <v>16690.283876508802</v>
      </c>
      <c r="AF43" s="1">
        <v>11559.3540810169</v>
      </c>
      <c r="AG43" s="1">
        <v>1.14343241252879</v>
      </c>
      <c r="AH43" s="1">
        <v>1.3699695216769301</v>
      </c>
      <c r="AI43" s="1">
        <v>1.7958368958980599</v>
      </c>
      <c r="AJ43" s="1">
        <v>2.3977433004231301</v>
      </c>
      <c r="AK43" s="1">
        <v>1.1468411419289199</v>
      </c>
      <c r="AL43" s="1">
        <v>0.74955196972455795</v>
      </c>
      <c r="AM43" s="1">
        <v>19</v>
      </c>
      <c r="AN43" s="2">
        <v>1.1057348652169501</v>
      </c>
      <c r="AO43">
        <v>1.5559698991791999</v>
      </c>
      <c r="AP43" s="3">
        <f>AVERAGE(AN43:AO43)</f>
        <v>1.3308523821980751</v>
      </c>
      <c r="AQ43" s="3">
        <f>RANK(AP43,$AP$2:$AP$51,1)</f>
        <v>42</v>
      </c>
      <c r="AS43" s="1">
        <v>28</v>
      </c>
      <c r="AT43" s="1">
        <v>42</v>
      </c>
      <c r="AU43" s="1">
        <v>48</v>
      </c>
      <c r="AV43" s="1">
        <v>21</v>
      </c>
      <c r="AW43" s="1">
        <v>6</v>
      </c>
      <c r="AX43" s="1">
        <v>38</v>
      </c>
      <c r="AY43" s="1">
        <v>7</v>
      </c>
      <c r="AZ43" s="1">
        <v>5</v>
      </c>
      <c r="BA43" s="1">
        <v>8</v>
      </c>
      <c r="BB43" s="1">
        <v>20</v>
      </c>
      <c r="BC43" s="1">
        <v>33</v>
      </c>
      <c r="BD43">
        <v>48</v>
      </c>
      <c r="BE43">
        <v>42</v>
      </c>
      <c r="BF43">
        <v>21</v>
      </c>
    </row>
    <row r="44" spans="1:58" x14ac:dyDescent="0.2">
      <c r="A44" s="1">
        <v>39</v>
      </c>
      <c r="B44" s="1" t="s">
        <v>87</v>
      </c>
      <c r="C44" s="1">
        <v>1104.673</v>
      </c>
      <c r="D44" s="1">
        <v>2869.8</v>
      </c>
      <c r="E44" s="1">
        <v>2.5978728546818801</v>
      </c>
      <c r="F44" s="1">
        <v>303828.498293515</v>
      </c>
      <c r="G44" s="1">
        <v>96758.532423208206</v>
      </c>
      <c r="H44" s="1">
        <v>30420.648464163802</v>
      </c>
      <c r="I44" s="1">
        <v>538784.982935154</v>
      </c>
      <c r="J44" s="1">
        <v>4.9000000000000002E-2</v>
      </c>
      <c r="K44" s="1">
        <v>17.843</v>
      </c>
      <c r="L44" s="1">
        <v>4.1319999999999997</v>
      </c>
      <c r="M44" s="1">
        <v>97.3</v>
      </c>
      <c r="N44" s="1">
        <v>1.3009999999999999</v>
      </c>
      <c r="O44" s="1">
        <v>52.165999999999997</v>
      </c>
      <c r="P44" s="1">
        <v>102.41200000000001</v>
      </c>
      <c r="Q44" s="1">
        <v>341.33699999999999</v>
      </c>
      <c r="R44" s="1">
        <v>12</v>
      </c>
      <c r="S44" s="1">
        <v>55</v>
      </c>
      <c r="T44" s="1">
        <v>771.90213000000006</v>
      </c>
      <c r="U44" s="1">
        <v>6092.1911600000003</v>
      </c>
      <c r="V44" s="1">
        <v>6864.09328</v>
      </c>
      <c r="W44" s="1">
        <v>779</v>
      </c>
      <c r="X44" s="1">
        <v>136</v>
      </c>
      <c r="Y44" s="1">
        <v>474.39810377372299</v>
      </c>
      <c r="Z44" s="1">
        <v>925.50992978063096</v>
      </c>
      <c r="AA44" s="1">
        <v>10585.691954661101</v>
      </c>
      <c r="AB44" s="1">
        <v>9589.9567369295091</v>
      </c>
      <c r="AD44" s="1">
        <v>44263.457080163003</v>
      </c>
      <c r="AE44" s="1">
        <v>14096.3312234021</v>
      </c>
      <c r="AF44" s="1">
        <v>4431.85242729741</v>
      </c>
      <c r="AG44" s="1">
        <v>0.27461749705767002</v>
      </c>
      <c r="AH44" s="1">
        <v>2.4939615841735998</v>
      </c>
      <c r="AI44" s="1">
        <v>4.24665981500514</v>
      </c>
      <c r="AJ44" s="1">
        <v>17.458279845956401</v>
      </c>
      <c r="AK44" s="1">
        <v>1.55460122904441</v>
      </c>
      <c r="AL44" s="1">
        <v>0.90279504624080098</v>
      </c>
      <c r="AM44" s="1">
        <v>32.675750970056498</v>
      </c>
      <c r="AN44" s="2">
        <v>1.4304016564431801</v>
      </c>
      <c r="AO44">
        <v>1.28769545399671</v>
      </c>
      <c r="AP44" s="3">
        <f>AVERAGE(AN44:AO44)</f>
        <v>1.3590485552199452</v>
      </c>
      <c r="AQ44" s="3">
        <f>RANK(AP44,$AP$2:$AP$51,1)</f>
        <v>43</v>
      </c>
      <c r="AS44" s="1">
        <v>46</v>
      </c>
      <c r="AT44" s="1">
        <v>41</v>
      </c>
      <c r="AU44" s="1">
        <v>34</v>
      </c>
      <c r="AV44" s="1">
        <v>3</v>
      </c>
      <c r="AW44" s="1">
        <v>18</v>
      </c>
      <c r="AX44" s="1">
        <v>49</v>
      </c>
      <c r="AY44" s="1">
        <v>48</v>
      </c>
      <c r="AZ44" s="1">
        <v>23</v>
      </c>
      <c r="BA44" s="1">
        <v>18</v>
      </c>
      <c r="BB44" s="1">
        <v>46</v>
      </c>
      <c r="BC44" s="1">
        <v>45</v>
      </c>
      <c r="BD44">
        <v>38</v>
      </c>
      <c r="BE44">
        <v>43</v>
      </c>
      <c r="BF44">
        <v>45</v>
      </c>
    </row>
    <row r="45" spans="1:58" x14ac:dyDescent="0.2">
      <c r="A45" s="1">
        <v>6</v>
      </c>
      <c r="B45" s="1" t="s">
        <v>54</v>
      </c>
      <c r="C45" s="1">
        <v>9031.5380000000005</v>
      </c>
      <c r="D45" s="1">
        <v>23022.464</v>
      </c>
      <c r="E45" s="1">
        <v>2.5491188765412902</v>
      </c>
      <c r="F45" s="1">
        <v>998367.52136752103</v>
      </c>
      <c r="G45" s="1">
        <v>507496.67616334301</v>
      </c>
      <c r="H45" s="1">
        <v>211622.032288699</v>
      </c>
      <c r="I45" s="1">
        <v>1844049.3827160499</v>
      </c>
      <c r="J45" s="1">
        <v>53.929000000000002</v>
      </c>
      <c r="K45" s="1">
        <v>648.12099999999998</v>
      </c>
      <c r="L45" s="1">
        <v>27.004000000000001</v>
      </c>
      <c r="M45" s="1">
        <v>2568.8670000000002</v>
      </c>
      <c r="N45" s="1">
        <v>20.170999999999999</v>
      </c>
      <c r="O45" s="1">
        <v>303.71800000000002</v>
      </c>
      <c r="P45" s="1">
        <v>121.30200000000001</v>
      </c>
      <c r="Q45" s="1">
        <v>1067.4069999999999</v>
      </c>
      <c r="R45" s="1">
        <v>236</v>
      </c>
      <c r="S45" s="1">
        <v>385</v>
      </c>
      <c r="T45" s="1">
        <v>15040.15321</v>
      </c>
      <c r="U45" s="1">
        <v>33601.893400000001</v>
      </c>
      <c r="V45" s="1">
        <v>48642.046600000001</v>
      </c>
      <c r="W45" s="1">
        <v>8869</v>
      </c>
      <c r="X45" s="1">
        <v>469</v>
      </c>
      <c r="Y45" s="1">
        <v>2250</v>
      </c>
      <c r="Z45" s="1">
        <v>4386</v>
      </c>
      <c r="AA45" s="1">
        <v>30901.537238029101</v>
      </c>
      <c r="AB45" s="1">
        <v>39522.462761970899</v>
      </c>
      <c r="AD45" s="1">
        <v>20524.7844437434</v>
      </c>
      <c r="AE45" s="1">
        <v>10433.292010442299</v>
      </c>
      <c r="AF45" s="1">
        <v>4350.5988559432599</v>
      </c>
      <c r="AG45" s="1">
        <v>8.3208228093211005</v>
      </c>
      <c r="AH45" s="1">
        <v>6.6413581019234904</v>
      </c>
      <c r="AI45" s="1">
        <v>1.05120272867377</v>
      </c>
      <c r="AJ45" s="1">
        <v>5.2880820836621902</v>
      </c>
      <c r="AK45" s="1">
        <v>1.56913295167157</v>
      </c>
      <c r="AL45" s="1">
        <v>1.1457687678992501</v>
      </c>
      <c r="AM45" s="1">
        <v>22.745065971569101</v>
      </c>
      <c r="AN45" s="2">
        <v>1.30237402934293</v>
      </c>
      <c r="AO45">
        <v>1.46211033249385</v>
      </c>
      <c r="AP45" s="3">
        <f>AVERAGE(AN45:AO45)</f>
        <v>1.38224218091839</v>
      </c>
      <c r="AQ45" s="3">
        <f>RANK(AP45,$AP$2:$AP$51,1)</f>
        <v>44</v>
      </c>
      <c r="AS45" s="1">
        <v>13</v>
      </c>
      <c r="AT45" s="1">
        <v>31</v>
      </c>
      <c r="AU45" s="1">
        <v>33</v>
      </c>
      <c r="AV45" s="1">
        <v>47</v>
      </c>
      <c r="AW45" s="1">
        <v>40</v>
      </c>
      <c r="AX45" s="1">
        <v>26</v>
      </c>
      <c r="AY45" s="1">
        <v>21</v>
      </c>
      <c r="AZ45" s="1">
        <v>26</v>
      </c>
      <c r="BA45" s="1">
        <v>37</v>
      </c>
      <c r="BB45" s="1">
        <v>32</v>
      </c>
      <c r="BC45" s="1">
        <v>42</v>
      </c>
      <c r="BD45">
        <v>44</v>
      </c>
      <c r="BE45">
        <v>44</v>
      </c>
      <c r="BF45">
        <v>41</v>
      </c>
    </row>
    <row r="46" spans="1:58" x14ac:dyDescent="0.2">
      <c r="A46" s="1">
        <v>38</v>
      </c>
      <c r="B46" s="1" t="s">
        <v>86</v>
      </c>
      <c r="C46" s="1">
        <v>39713.25</v>
      </c>
      <c r="D46" s="1">
        <v>88322.133000000002</v>
      </c>
      <c r="E46" s="1">
        <v>2.2239966006307701</v>
      </c>
      <c r="F46" s="1">
        <v>3723949.2682926799</v>
      </c>
      <c r="G46" s="1">
        <v>1751078.0487804899</v>
      </c>
      <c r="H46" s="1">
        <v>922035.12195121998</v>
      </c>
      <c r="I46" s="1">
        <v>8811400</v>
      </c>
      <c r="J46" s="1">
        <v>32.283000000000001</v>
      </c>
      <c r="K46" s="1">
        <v>1066.2550000000001</v>
      </c>
      <c r="L46" s="1">
        <v>21.288</v>
      </c>
      <c r="M46" s="1">
        <v>1578.923</v>
      </c>
      <c r="N46" s="1">
        <v>48.862000000000002</v>
      </c>
      <c r="O46" s="1">
        <v>797.06399999999996</v>
      </c>
      <c r="P46" s="1">
        <v>379.90100000000001</v>
      </c>
      <c r="Q46" s="1">
        <v>2865.9549999999999</v>
      </c>
      <c r="R46" s="1">
        <v>498</v>
      </c>
      <c r="S46" s="1">
        <v>625</v>
      </c>
      <c r="T46" s="1">
        <v>31098.67182</v>
      </c>
      <c r="U46" s="1">
        <v>56883.81912</v>
      </c>
      <c r="V46" s="1">
        <v>87982.490940000003</v>
      </c>
      <c r="W46" s="1">
        <v>23166</v>
      </c>
      <c r="X46" s="1">
        <v>3198</v>
      </c>
      <c r="Y46" s="1">
        <v>4113.8430613158498</v>
      </c>
      <c r="Z46" s="1">
        <v>8465.0998961029109</v>
      </c>
      <c r="AA46" s="1">
        <v>67234.989357184095</v>
      </c>
      <c r="AB46" s="1">
        <v>53295.790023643603</v>
      </c>
      <c r="AD46" s="1">
        <v>42326.026786764298</v>
      </c>
      <c r="AE46" s="1">
        <v>19902.574138013901</v>
      </c>
      <c r="AF46" s="1">
        <v>10479.756961871</v>
      </c>
      <c r="AG46" s="1">
        <v>3.02769975287337</v>
      </c>
      <c r="AH46" s="1">
        <v>6.1302480101974304</v>
      </c>
      <c r="AI46" s="1">
        <v>1.3482608081584699</v>
      </c>
      <c r="AJ46" s="1">
        <v>13.804713804713799</v>
      </c>
      <c r="AK46" s="1">
        <v>1.6013545622862599</v>
      </c>
      <c r="AL46" s="1">
        <v>1.09873072812063</v>
      </c>
      <c r="AM46" s="1">
        <v>22.639539510362201</v>
      </c>
      <c r="AN46" s="2">
        <v>1.5481607198918701</v>
      </c>
      <c r="AO46">
        <v>1.2308164871365901</v>
      </c>
      <c r="AP46" s="3">
        <f>AVERAGE(AN46:AO46)</f>
        <v>1.3894886035142302</v>
      </c>
      <c r="AQ46" s="3">
        <f>RANK(AP46,$AP$2:$AP$51,1)</f>
        <v>45</v>
      </c>
      <c r="AS46" s="1">
        <v>43</v>
      </c>
      <c r="AT46" s="1">
        <v>46</v>
      </c>
      <c r="AU46" s="1">
        <v>46</v>
      </c>
      <c r="AV46" s="1">
        <v>42</v>
      </c>
      <c r="AW46" s="1">
        <v>39</v>
      </c>
      <c r="AX46" s="1">
        <v>33</v>
      </c>
      <c r="AY46" s="1">
        <v>46</v>
      </c>
      <c r="AZ46" s="1">
        <v>28</v>
      </c>
      <c r="BA46" s="1">
        <v>30</v>
      </c>
      <c r="BB46" s="1">
        <v>31</v>
      </c>
      <c r="BC46" s="1">
        <v>47</v>
      </c>
      <c r="BD46">
        <v>36</v>
      </c>
      <c r="BE46">
        <v>45</v>
      </c>
      <c r="BF46">
        <v>38</v>
      </c>
    </row>
    <row r="47" spans="1:58" x14ac:dyDescent="0.2">
      <c r="A47" s="1">
        <v>36</v>
      </c>
      <c r="B47" s="1" t="s">
        <v>84</v>
      </c>
      <c r="C47" s="1">
        <v>12252.49</v>
      </c>
      <c r="D47" s="1">
        <v>30406.566999999999</v>
      </c>
      <c r="E47" s="1">
        <v>2.4816642984405601</v>
      </c>
      <c r="F47" s="1">
        <v>1547246.87144482</v>
      </c>
      <c r="G47" s="1">
        <v>799889.64732650702</v>
      </c>
      <c r="H47" s="1">
        <v>281299.20364050101</v>
      </c>
      <c r="I47" s="1">
        <v>3065706.48464164</v>
      </c>
      <c r="J47" s="1">
        <v>15</v>
      </c>
      <c r="K47" s="1">
        <v>636.72</v>
      </c>
      <c r="L47" s="1">
        <v>45.798999999999999</v>
      </c>
      <c r="M47" s="1">
        <v>2236.1019999999999</v>
      </c>
      <c r="N47" s="1">
        <v>15.398</v>
      </c>
      <c r="O47" s="1">
        <v>284.13</v>
      </c>
      <c r="P47" s="1">
        <v>71.302999999999997</v>
      </c>
      <c r="Q47" s="1">
        <v>738.81799999999998</v>
      </c>
      <c r="R47" s="1">
        <v>390</v>
      </c>
      <c r="S47" s="1">
        <v>262</v>
      </c>
      <c r="T47" s="1">
        <v>20871.705539999999</v>
      </c>
      <c r="U47" s="1">
        <v>21128.473000000002</v>
      </c>
      <c r="V47" s="1">
        <v>42000.178540000001</v>
      </c>
      <c r="W47" s="1">
        <v>23220</v>
      </c>
      <c r="X47" s="1">
        <v>2296</v>
      </c>
      <c r="Y47" s="1">
        <v>1078.48962473234</v>
      </c>
      <c r="Z47" s="1">
        <v>1969.3994738420899</v>
      </c>
      <c r="AA47" s="1">
        <v>13146.6072431418</v>
      </c>
      <c r="AB47" s="1">
        <v>34278.034288340299</v>
      </c>
      <c r="AD47" s="1">
        <v>36839.054623809803</v>
      </c>
      <c r="AE47" s="1">
        <v>19044.910644003801</v>
      </c>
      <c r="AF47" s="1">
        <v>6697.5716156205799</v>
      </c>
      <c r="AG47" s="1">
        <v>2.3558235959291398</v>
      </c>
      <c r="AH47" s="1">
        <v>5.4193502973990801</v>
      </c>
      <c r="AI47" s="1">
        <v>2.04816238257468</v>
      </c>
      <c r="AJ47" s="1">
        <v>9.8880275624461706</v>
      </c>
      <c r="AK47" s="1">
        <v>1.86855836602609</v>
      </c>
      <c r="AL47" s="1">
        <v>1.2400328220596</v>
      </c>
      <c r="AM47" s="1">
        <v>29.5951550785134</v>
      </c>
      <c r="AN47" s="2">
        <v>1.4197170253074201</v>
      </c>
      <c r="AO47">
        <v>1.5249551638146801</v>
      </c>
      <c r="AP47" s="3">
        <f>AVERAGE(AN47:AO47)</f>
        <v>1.47233609456105</v>
      </c>
      <c r="AQ47" s="3">
        <f>RANK(AP47,$AP$2:$AP$51,1)</f>
        <v>46</v>
      </c>
      <c r="AS47" s="1">
        <v>37</v>
      </c>
      <c r="AT47" s="1">
        <v>45</v>
      </c>
      <c r="AU47" s="1">
        <v>42</v>
      </c>
      <c r="AV47" s="1">
        <v>35</v>
      </c>
      <c r="AW47" s="1">
        <v>38</v>
      </c>
      <c r="AX47" s="1">
        <v>40</v>
      </c>
      <c r="AY47" s="1">
        <v>41</v>
      </c>
      <c r="AZ47" s="1">
        <v>33</v>
      </c>
      <c r="BA47" s="1">
        <v>43</v>
      </c>
      <c r="BB47" s="1">
        <v>41</v>
      </c>
      <c r="BC47" s="1">
        <v>44</v>
      </c>
      <c r="BD47">
        <v>47</v>
      </c>
      <c r="BE47">
        <v>46</v>
      </c>
      <c r="BF47">
        <v>35</v>
      </c>
    </row>
    <row r="48" spans="1:58" x14ac:dyDescent="0.2">
      <c r="A48" s="1">
        <v>48</v>
      </c>
      <c r="B48" s="1" t="s">
        <v>96</v>
      </c>
      <c r="C48" s="1">
        <v>34421.597999999998</v>
      </c>
      <c r="D48" s="1">
        <v>71053.823999999993</v>
      </c>
      <c r="E48" s="1">
        <v>2.0642221200770501</v>
      </c>
      <c r="F48" s="1">
        <v>1006510.49723757</v>
      </c>
      <c r="G48" s="1">
        <v>369819.889502762</v>
      </c>
      <c r="H48" s="1">
        <v>73142.541436464104</v>
      </c>
      <c r="I48" s="1">
        <v>1639447.5138121501</v>
      </c>
      <c r="J48" s="1">
        <v>10.997999999999999</v>
      </c>
      <c r="K48" s="1">
        <v>319.35199999999998</v>
      </c>
      <c r="L48" s="1">
        <v>29.661000000000001</v>
      </c>
      <c r="M48" s="1">
        <v>1012.2140000000001</v>
      </c>
      <c r="N48" s="1">
        <v>21.141999999999999</v>
      </c>
      <c r="O48" s="1">
        <v>235.238</v>
      </c>
      <c r="P48" s="1">
        <v>22.721</v>
      </c>
      <c r="Q48" s="1">
        <v>395.75400000000002</v>
      </c>
      <c r="R48" s="1">
        <v>171</v>
      </c>
      <c r="S48" s="1">
        <v>89</v>
      </c>
      <c r="T48" s="1">
        <v>8260.1157700000003</v>
      </c>
      <c r="U48" s="1">
        <v>7794.02448</v>
      </c>
      <c r="V48" s="1">
        <v>16054.14025</v>
      </c>
      <c r="W48" s="1">
        <v>7314</v>
      </c>
      <c r="X48" s="1">
        <v>1490</v>
      </c>
      <c r="Y48" s="1">
        <v>378.844777554899</v>
      </c>
      <c r="Z48" s="1">
        <v>665.86414468991904</v>
      </c>
      <c r="AA48" s="1">
        <v>-16.073823787551198</v>
      </c>
      <c r="AB48" s="1">
        <v>6678.2381579247503</v>
      </c>
      <c r="AD48" s="1">
        <v>62694.761697847302</v>
      </c>
      <c r="AE48" s="1">
        <v>23035.795361434099</v>
      </c>
      <c r="AF48" s="1">
        <v>4555.9924292092901</v>
      </c>
      <c r="AG48" s="1">
        <v>3.4438487938074598</v>
      </c>
      <c r="AH48" s="1">
        <v>8.9874935172038501</v>
      </c>
      <c r="AI48" s="1">
        <v>2.9303092033897999</v>
      </c>
      <c r="AJ48" s="1">
        <v>20.371889526934599</v>
      </c>
      <c r="AK48" s="1">
        <v>2.0701889024492401</v>
      </c>
      <c r="AL48" s="1">
        <v>1.1419004421705401</v>
      </c>
      <c r="AM48" s="1">
        <v>9.9870019729717896</v>
      </c>
      <c r="AN48" s="2">
        <v>1.78136079567879</v>
      </c>
      <c r="AO48">
        <v>1.33333823007258</v>
      </c>
      <c r="AP48" s="3">
        <f>AVERAGE(AN48:AO48)</f>
        <v>1.5573495128756849</v>
      </c>
      <c r="AQ48" s="3">
        <f>RANK(AP48,$AP$2:$AP$51,1)</f>
        <v>47</v>
      </c>
      <c r="AS48" s="1">
        <v>48</v>
      </c>
      <c r="AT48" s="1">
        <v>48</v>
      </c>
      <c r="AU48" s="1">
        <v>35</v>
      </c>
      <c r="AV48" s="1">
        <v>44</v>
      </c>
      <c r="AW48" s="1">
        <v>45</v>
      </c>
      <c r="AX48" s="1">
        <v>45</v>
      </c>
      <c r="AY48" s="1">
        <v>50</v>
      </c>
      <c r="AZ48" s="1">
        <v>39</v>
      </c>
      <c r="BA48" s="1">
        <v>35</v>
      </c>
      <c r="BB48" s="1">
        <v>6</v>
      </c>
      <c r="BC48" s="1">
        <v>48</v>
      </c>
      <c r="BD48">
        <v>40</v>
      </c>
      <c r="BE48">
        <v>47</v>
      </c>
      <c r="BF48">
        <v>33</v>
      </c>
    </row>
    <row r="49" spans="1:58" x14ac:dyDescent="0.2">
      <c r="A49" s="1">
        <v>11</v>
      </c>
      <c r="B49" s="1" t="s">
        <v>59</v>
      </c>
      <c r="C49" s="1">
        <v>948.65599999999995</v>
      </c>
      <c r="D49" s="1">
        <v>2477.288</v>
      </c>
      <c r="E49" s="1">
        <v>2.6113659745998601</v>
      </c>
      <c r="F49" s="1">
        <v>125748.06001034701</v>
      </c>
      <c r="G49" s="1">
        <v>31094.6714950854</v>
      </c>
      <c r="H49" s="1">
        <v>9707.1908949818899</v>
      </c>
      <c r="I49" s="1">
        <v>199151.06052767701</v>
      </c>
      <c r="J49" s="1">
        <v>0</v>
      </c>
      <c r="K49" s="1">
        <v>0</v>
      </c>
      <c r="L49" s="1">
        <v>3.2189999999999999</v>
      </c>
      <c r="M49" s="1">
        <v>77.349000000000004</v>
      </c>
      <c r="N49" s="1">
        <v>14.141</v>
      </c>
      <c r="O49" s="1">
        <v>54.639000000000003</v>
      </c>
      <c r="P49" s="1">
        <v>31.516999999999999</v>
      </c>
      <c r="Q49" s="1">
        <v>261.27499999999998</v>
      </c>
      <c r="R49" s="1">
        <v>9</v>
      </c>
      <c r="S49" s="1">
        <v>76</v>
      </c>
      <c r="T49" s="1">
        <v>1466.7273499999999</v>
      </c>
      <c r="U49" s="1">
        <v>7318.6391899999999</v>
      </c>
      <c r="V49" s="1">
        <v>8785.3665400000009</v>
      </c>
      <c r="W49" s="1">
        <v>1162</v>
      </c>
      <c r="X49" s="1">
        <v>87</v>
      </c>
      <c r="Y49" s="1">
        <v>485</v>
      </c>
      <c r="Z49" s="1">
        <v>1033</v>
      </c>
      <c r="AA49" s="1">
        <v>5271.1582646410998</v>
      </c>
      <c r="AB49" s="1">
        <v>9979.8417353588993</v>
      </c>
      <c r="AD49" s="1">
        <v>14313.3538524332</v>
      </c>
      <c r="AE49" s="1">
        <v>3539.3709930610798</v>
      </c>
      <c r="AF49" s="1">
        <v>1104.92725042089</v>
      </c>
      <c r="AG49" s="1" t="e">
        <v>#NUM!</v>
      </c>
      <c r="AH49" s="1">
        <v>25.880781127033799</v>
      </c>
      <c r="AI49" s="1">
        <v>4.1616569057130697</v>
      </c>
      <c r="AJ49" s="1">
        <v>7.4870912220309798</v>
      </c>
      <c r="AK49" s="1">
        <v>0.61361097548225296</v>
      </c>
      <c r="AL49" s="1">
        <v>1.0384444160581701</v>
      </c>
      <c r="AM49" s="1">
        <v>20.529395373346201</v>
      </c>
      <c r="AN49" s="2">
        <v>1.49830654295298</v>
      </c>
      <c r="AO49">
        <v>1.6292719964478799</v>
      </c>
      <c r="AP49" s="3">
        <f>AVERAGE(AN49:AO49)</f>
        <v>1.5637892697004299</v>
      </c>
      <c r="AQ49" s="3">
        <f>RANK(AP49,$AP$2:$AP$51,1)</f>
        <v>48</v>
      </c>
      <c r="AS49" s="1">
        <v>4</v>
      </c>
      <c r="AT49" s="1">
        <v>4</v>
      </c>
      <c r="AU49" s="1">
        <v>3</v>
      </c>
      <c r="AW49" s="1">
        <v>50</v>
      </c>
      <c r="AX49" s="1">
        <v>48</v>
      </c>
      <c r="AY49" s="1">
        <v>33</v>
      </c>
      <c r="AZ49" s="1">
        <v>1</v>
      </c>
      <c r="BA49" s="1">
        <v>27</v>
      </c>
      <c r="BB49" s="1">
        <v>26</v>
      </c>
      <c r="BC49" s="1">
        <v>46</v>
      </c>
      <c r="BD49">
        <v>49</v>
      </c>
      <c r="BE49">
        <v>48</v>
      </c>
      <c r="BF49">
        <v>48</v>
      </c>
    </row>
    <row r="50" spans="1:58" x14ac:dyDescent="0.2">
      <c r="A50" s="1">
        <v>8</v>
      </c>
      <c r="B50" s="1" t="s">
        <v>56</v>
      </c>
      <c r="C50" s="1">
        <v>5465.57</v>
      </c>
      <c r="D50" s="1">
        <v>11997.76</v>
      </c>
      <c r="E50" s="1">
        <v>2.1951525641424401</v>
      </c>
      <c r="F50" s="1">
        <v>548456.90454124205</v>
      </c>
      <c r="G50" s="1">
        <v>417254.86561631103</v>
      </c>
      <c r="H50" s="1">
        <v>331303.05838739598</v>
      </c>
      <c r="I50" s="1">
        <v>1650022.24281742</v>
      </c>
      <c r="J50" s="1">
        <v>0</v>
      </c>
      <c r="K50" s="1">
        <v>0</v>
      </c>
      <c r="L50" s="1">
        <v>0.61</v>
      </c>
      <c r="M50" s="1">
        <v>99.25</v>
      </c>
      <c r="N50" s="1">
        <v>3.5</v>
      </c>
      <c r="O50" s="1">
        <v>40.380000000000003</v>
      </c>
      <c r="P50" s="1">
        <v>10.69</v>
      </c>
      <c r="Q50" s="1">
        <v>212.68</v>
      </c>
      <c r="R50" s="1">
        <v>47</v>
      </c>
      <c r="S50" s="1">
        <v>69</v>
      </c>
      <c r="T50" s="1">
        <v>2021.0409400000001</v>
      </c>
      <c r="U50" s="1">
        <v>6324.1886699999995</v>
      </c>
      <c r="V50" s="1">
        <v>8345.2296100000003</v>
      </c>
      <c r="W50" s="1">
        <v>875</v>
      </c>
      <c r="X50" s="1">
        <v>17</v>
      </c>
      <c r="Y50" s="1">
        <v>344.88405738482498</v>
      </c>
      <c r="Z50" s="1">
        <v>782.51072309998199</v>
      </c>
      <c r="AA50" s="1">
        <v>8479.4358592450699</v>
      </c>
      <c r="AB50" s="1">
        <v>4641.52126362123</v>
      </c>
      <c r="AD50" s="1">
        <v>65721.008309230005</v>
      </c>
      <c r="AE50" s="1">
        <v>49999.207345513802</v>
      </c>
      <c r="AF50" s="1">
        <v>39699.693581875697</v>
      </c>
      <c r="AG50" s="1" t="e">
        <v>#NUM!</v>
      </c>
      <c r="AH50" s="1">
        <v>8.6676572560673595</v>
      </c>
      <c r="AI50" s="1">
        <v>0.61460957178841302</v>
      </c>
      <c r="AJ50" s="1">
        <v>1.94285714285714</v>
      </c>
      <c r="AK50" s="1">
        <v>2.3255342863069401</v>
      </c>
      <c r="AL50" s="1">
        <v>1.09104904360799</v>
      </c>
      <c r="AM50" s="1">
        <v>30.5179128581666</v>
      </c>
      <c r="AN50" s="2">
        <v>2.8513587174978801</v>
      </c>
      <c r="AO50">
        <v>1.1973876390540401</v>
      </c>
      <c r="AP50" s="3">
        <f>AVERAGE(AN50:AO50)</f>
        <v>2.02437317827596</v>
      </c>
      <c r="AQ50" s="3">
        <f>RANK(AP50,$AP$2:$AP$51,1)</f>
        <v>49</v>
      </c>
      <c r="AS50" s="1">
        <v>49</v>
      </c>
      <c r="AT50" s="1">
        <v>50</v>
      </c>
      <c r="AU50" s="1">
        <v>50</v>
      </c>
      <c r="AW50" s="1">
        <v>44</v>
      </c>
      <c r="AX50" s="1">
        <v>16</v>
      </c>
      <c r="AY50" s="1">
        <v>4</v>
      </c>
      <c r="AZ50" s="1">
        <v>49</v>
      </c>
      <c r="BA50" s="1">
        <v>29</v>
      </c>
      <c r="BB50" s="1">
        <v>43</v>
      </c>
      <c r="BC50" s="1">
        <v>49</v>
      </c>
      <c r="BD50">
        <v>33</v>
      </c>
      <c r="BE50">
        <v>49</v>
      </c>
      <c r="BF50">
        <v>44</v>
      </c>
    </row>
    <row r="51" spans="1:58" x14ac:dyDescent="0.2">
      <c r="A51" s="1">
        <v>2</v>
      </c>
      <c r="B51" s="1" t="s">
        <v>50</v>
      </c>
      <c r="C51" s="1">
        <v>5636.7209999999995</v>
      </c>
      <c r="D51" s="1">
        <v>11754.094999999999</v>
      </c>
      <c r="E51" s="1">
        <v>2.08527173865799</v>
      </c>
      <c r="F51" s="1">
        <v>603913.45397324895</v>
      </c>
      <c r="G51" s="1">
        <v>208741.14870180999</v>
      </c>
      <c r="H51" s="1">
        <v>35887.490165224197</v>
      </c>
      <c r="I51" s="1">
        <v>911672.69866247103</v>
      </c>
      <c r="J51" s="1">
        <v>94.495999999999995</v>
      </c>
      <c r="K51" s="1">
        <v>981.50300000000004</v>
      </c>
      <c r="L51" s="1">
        <v>65.825999999999993</v>
      </c>
      <c r="M51" s="1">
        <v>477.81400000000002</v>
      </c>
      <c r="N51" s="1">
        <v>1.3260000000000001</v>
      </c>
      <c r="O51" s="1">
        <v>78.424999999999997</v>
      </c>
      <c r="P51" s="1">
        <v>6.2439999999999998</v>
      </c>
      <c r="Q51" s="1">
        <v>139.411</v>
      </c>
      <c r="R51" s="1">
        <v>38</v>
      </c>
      <c r="S51" s="1">
        <v>26</v>
      </c>
      <c r="T51" s="1">
        <v>2482.9574400000001</v>
      </c>
      <c r="U51" s="1">
        <v>2822.93111</v>
      </c>
      <c r="V51" s="1">
        <v>5305.8885499999997</v>
      </c>
      <c r="W51" s="1">
        <v>1632</v>
      </c>
      <c r="X51" s="1">
        <v>134</v>
      </c>
      <c r="Y51" s="1">
        <v>177</v>
      </c>
      <c r="Z51" s="1">
        <v>349</v>
      </c>
      <c r="AA51" s="1">
        <v>1877.4887323943699</v>
      </c>
      <c r="AB51" s="1">
        <v>2189.5112676056301</v>
      </c>
      <c r="AD51" s="1">
        <v>113819.47590536</v>
      </c>
      <c r="AE51" s="1">
        <v>39341.412231851296</v>
      </c>
      <c r="AF51" s="1">
        <v>6763.7097588912302</v>
      </c>
      <c r="AG51" s="1">
        <v>9.6276832572085898</v>
      </c>
      <c r="AH51" s="1">
        <v>1.69078737647434</v>
      </c>
      <c r="AI51" s="1">
        <v>13.776490433516001</v>
      </c>
      <c r="AJ51" s="1">
        <v>8.2107843137254903</v>
      </c>
      <c r="AK51" s="1">
        <v>1.5304329984810401</v>
      </c>
      <c r="AL51" s="1">
        <v>0.92102849792887798</v>
      </c>
      <c r="AM51" s="1">
        <v>16.880952227863801</v>
      </c>
      <c r="AN51" s="2">
        <v>3.11972983879514</v>
      </c>
      <c r="AO51">
        <v>2.7551750169567901</v>
      </c>
      <c r="AP51" s="3">
        <f>AVERAGE(AN51:AO51)</f>
        <v>2.9374524278759653</v>
      </c>
      <c r="AQ51" s="3">
        <f>RANK(AP51,$AP$2:$AP$51,1)</f>
        <v>50</v>
      </c>
      <c r="AS51" s="1">
        <v>50</v>
      </c>
      <c r="AT51" s="1">
        <v>49</v>
      </c>
      <c r="AU51" s="1">
        <v>43</v>
      </c>
      <c r="AV51" s="1">
        <v>48</v>
      </c>
      <c r="AW51" s="1">
        <v>12</v>
      </c>
      <c r="AX51" s="1">
        <v>50</v>
      </c>
      <c r="AY51" s="1">
        <v>35</v>
      </c>
      <c r="AZ51" s="1">
        <v>21</v>
      </c>
      <c r="BA51" s="1">
        <v>19</v>
      </c>
      <c r="BB51" s="1">
        <v>13</v>
      </c>
      <c r="BC51" s="1">
        <v>50</v>
      </c>
      <c r="BD51">
        <v>50</v>
      </c>
      <c r="BE51">
        <v>50</v>
      </c>
      <c r="BF51">
        <v>49</v>
      </c>
    </row>
    <row r="52" spans="1:58" x14ac:dyDescent="0.2">
      <c r="A52" s="1">
        <v>51</v>
      </c>
      <c r="B52" s="1" t="s">
        <v>99</v>
      </c>
      <c r="C52" s="1">
        <v>781295.83600000001</v>
      </c>
      <c r="D52" s="1">
        <v>1887581.1769999999</v>
      </c>
      <c r="E52" s="1">
        <v>2.4159621618666902</v>
      </c>
      <c r="F52" s="1">
        <v>77489277.796824902</v>
      </c>
      <c r="G52" s="1">
        <v>26392588.351018202</v>
      </c>
      <c r="H52" s="1">
        <v>9888627.6120258998</v>
      </c>
      <c r="I52" s="1">
        <v>150441502.78354499</v>
      </c>
      <c r="J52" s="1">
        <v>609.46299999999997</v>
      </c>
      <c r="K52" s="1">
        <v>29198.708999999999</v>
      </c>
      <c r="L52" s="1">
        <v>1016.447</v>
      </c>
      <c r="M52" s="1">
        <v>89777.721000000005</v>
      </c>
      <c r="N52" s="1">
        <v>910.68299999999999</v>
      </c>
      <c r="O52" s="1">
        <v>19108.484</v>
      </c>
      <c r="P52" s="1">
        <v>9104.5419999999995</v>
      </c>
      <c r="Q52" s="1">
        <v>64182.55</v>
      </c>
      <c r="R52" s="1">
        <v>16403</v>
      </c>
      <c r="S52" s="1">
        <v>21482</v>
      </c>
      <c r="T52" s="1">
        <v>903526.81556000002</v>
      </c>
      <c r="U52" s="1">
        <v>1997064.23691</v>
      </c>
      <c r="V52" s="1">
        <v>2900591.05241</v>
      </c>
      <c r="W52" s="1">
        <v>617008</v>
      </c>
      <c r="X52" s="1">
        <v>43289</v>
      </c>
      <c r="Y52" s="1">
        <v>112772</v>
      </c>
      <c r="Z52" s="1">
        <v>232122</v>
      </c>
      <c r="AA52" s="1">
        <v>1868505.3632100699</v>
      </c>
      <c r="AB52" s="1">
        <v>2431452.6367899301</v>
      </c>
      <c r="AD52" s="1">
        <v>26714.995804886599</v>
      </c>
      <c r="AE52" s="1">
        <v>9099.0380491898595</v>
      </c>
      <c r="AF52" s="1">
        <v>3409.1767620291698</v>
      </c>
      <c r="AG52" s="1">
        <v>2.08729433893807</v>
      </c>
      <c r="AH52" s="1">
        <v>4.7658568832566699</v>
      </c>
      <c r="AI52" s="1">
        <v>1.13218178037734</v>
      </c>
      <c r="AJ52" s="1">
        <v>7.0159544122604602</v>
      </c>
      <c r="AK52" s="1">
        <v>1.8154414144126501</v>
      </c>
      <c r="AL52" s="1">
        <v>1.07567896930739</v>
      </c>
      <c r="AM52" s="1">
        <v>27.043767648661198</v>
      </c>
      <c r="AN52" s="2">
        <v>1</v>
      </c>
      <c r="AO52">
        <v>1</v>
      </c>
      <c r="AP52" s="3">
        <f>AVERAGE(AN52:AO52)</f>
        <v>1</v>
      </c>
      <c r="AQ52" s="3"/>
    </row>
  </sheetData>
  <autoFilter ref="A1:BF52" xr:uid="{00000000-0001-0000-0000-000000000000}">
    <sortState xmlns:xlrd2="http://schemas.microsoft.com/office/spreadsheetml/2017/richdata2" ref="A2:BF52">
      <sortCondition ref="BE1:BE52"/>
    </sortState>
  </autoFilter>
  <conditionalFormatting sqref="AS2:BE5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2:BF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F2:BF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2:BF5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truongbui</dc:creator>
  <cp:lastModifiedBy>Microsoft Office User</cp:lastModifiedBy>
  <dcterms:created xsi:type="dcterms:W3CDTF">2022-06-27T02:05:02Z</dcterms:created>
  <dcterms:modified xsi:type="dcterms:W3CDTF">2022-07-12T23:08:45Z</dcterms:modified>
</cp:coreProperties>
</file>